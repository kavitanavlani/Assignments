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KILL_TRAINING_2026\"/>
    </mc:Choice>
  </mc:AlternateContent>
  <xr:revisionPtr revIDLastSave="0" documentId="13_ncr:1_{806D1C18-D7CF-4276-9842-AC75607D0DAE}" xr6:coauthVersionLast="47" xr6:coauthVersionMax="47" xr10:uidLastSave="{00000000-0000-0000-0000-000000000000}"/>
  <bookViews>
    <workbookView xWindow="760" yWindow="760" windowWidth="12260" windowHeight="9230" xr2:uid="{6E585131-DB60-4037-9E61-4300A4EE5369}"/>
  </bookViews>
  <sheets>
    <sheet name="Indirect Function" sheetId="1" r:id="rId1"/>
    <sheet name="Vlookup Type 1 Case" sheetId="2" r:id="rId2"/>
    <sheet name="Lookup Function" sheetId="3" r:id="rId3"/>
  </sheets>
  <externalReferences>
    <externalReference r:id="rId4"/>
  </externalReferences>
  <definedNames>
    <definedName name="_xlnm._FilterDatabase" localSheetId="1" hidden="1">'Vlookup Type 1 Case'!$A$1:$F$248</definedName>
    <definedName name="abc">'Indirect Function'!$F$4:$G$7</definedName>
    <definedName name="apps">'Lookup Function'!$C$2:$C$9</definedName>
    <definedName name="ebooks">'Lookup Function'!$D$2:$D$9</definedName>
    <definedName name="edr">'Indirect Function'!$F$11:$G$14</definedName>
    <definedName name="eds">'Indirect Function'!$I$4:$J$7</definedName>
    <definedName name="games">'Lookup Function'!$B$2:$B$9</definedName>
    <definedName name="my_headings">'[1]CASE_1.1'!$A$1:$F$1</definedName>
    <definedName name="My_tbl">'[1]CASE_1.1'!$A$1:$F$28</definedName>
    <definedName name="tbl_1">'[1]CASE_1.2'!$G$3:$H$9</definedName>
    <definedName name="tbl_2">'[1]CASE_1.2'!$J$2:$K$8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48" i="2" l="1"/>
  <c r="G248" i="2"/>
  <c r="J247" i="2"/>
  <c r="G247" i="2"/>
  <c r="J246" i="2"/>
  <c r="G246" i="2"/>
  <c r="J245" i="2"/>
  <c r="G245" i="2"/>
  <c r="J244" i="2"/>
  <c r="G244" i="2"/>
  <c r="J243" i="2"/>
  <c r="G243" i="2"/>
  <c r="J242" i="2"/>
  <c r="G242" i="2"/>
  <c r="J241" i="2"/>
  <c r="G241" i="2"/>
  <c r="J240" i="2"/>
  <c r="G240" i="2"/>
  <c r="J239" i="2"/>
  <c r="G239" i="2"/>
  <c r="J238" i="2"/>
  <c r="G238" i="2"/>
  <c r="J237" i="2"/>
  <c r="G237" i="2"/>
  <c r="J236" i="2"/>
  <c r="G236" i="2"/>
  <c r="J235" i="2"/>
  <c r="G235" i="2"/>
  <c r="J234" i="2"/>
  <c r="G234" i="2"/>
  <c r="J233" i="2"/>
  <c r="G233" i="2"/>
  <c r="J232" i="2"/>
  <c r="G232" i="2"/>
  <c r="J231" i="2"/>
  <c r="G231" i="2"/>
  <c r="J230" i="2"/>
  <c r="G230" i="2"/>
  <c r="J229" i="2"/>
  <c r="G229" i="2"/>
  <c r="J228" i="2"/>
  <c r="G228" i="2"/>
  <c r="J227" i="2"/>
  <c r="G227" i="2"/>
  <c r="J226" i="2"/>
  <c r="G226" i="2"/>
  <c r="J225" i="2"/>
  <c r="G225" i="2"/>
  <c r="J224" i="2"/>
  <c r="G224" i="2"/>
  <c r="J223" i="2"/>
  <c r="G223" i="2"/>
  <c r="J222" i="2"/>
  <c r="G222" i="2"/>
  <c r="J221" i="2"/>
  <c r="G221" i="2"/>
  <c r="J220" i="2"/>
  <c r="G220" i="2"/>
  <c r="J219" i="2"/>
  <c r="G219" i="2"/>
  <c r="J218" i="2"/>
  <c r="G218" i="2"/>
  <c r="J217" i="2"/>
  <c r="G217" i="2"/>
  <c r="J216" i="2"/>
  <c r="G216" i="2"/>
  <c r="J215" i="2"/>
  <c r="G215" i="2"/>
  <c r="J214" i="2"/>
  <c r="G214" i="2"/>
  <c r="J213" i="2"/>
  <c r="G213" i="2"/>
  <c r="J212" i="2"/>
  <c r="G212" i="2"/>
  <c r="J211" i="2"/>
  <c r="G211" i="2"/>
  <c r="J210" i="2"/>
  <c r="G210" i="2"/>
  <c r="J209" i="2"/>
  <c r="G209" i="2"/>
  <c r="J208" i="2"/>
  <c r="G208" i="2"/>
  <c r="J207" i="2"/>
  <c r="G207" i="2"/>
  <c r="J206" i="2"/>
  <c r="G206" i="2"/>
  <c r="J205" i="2"/>
  <c r="G205" i="2"/>
  <c r="J204" i="2"/>
  <c r="G204" i="2"/>
  <c r="J203" i="2"/>
  <c r="G203" i="2"/>
  <c r="J202" i="2"/>
  <c r="G202" i="2"/>
  <c r="J201" i="2"/>
  <c r="G201" i="2"/>
  <c r="J200" i="2"/>
  <c r="G200" i="2"/>
  <c r="J199" i="2"/>
  <c r="G199" i="2"/>
  <c r="J198" i="2"/>
  <c r="G198" i="2"/>
  <c r="J197" i="2"/>
  <c r="G197" i="2"/>
  <c r="J196" i="2"/>
  <c r="G196" i="2"/>
  <c r="J195" i="2"/>
  <c r="G195" i="2"/>
  <c r="J194" i="2"/>
  <c r="G194" i="2"/>
  <c r="J193" i="2"/>
  <c r="G193" i="2"/>
  <c r="J192" i="2"/>
  <c r="G192" i="2"/>
  <c r="J191" i="2"/>
  <c r="G191" i="2"/>
  <c r="J190" i="2"/>
  <c r="G190" i="2"/>
  <c r="J189" i="2"/>
  <c r="G189" i="2"/>
  <c r="J188" i="2"/>
  <c r="G188" i="2"/>
  <c r="J187" i="2"/>
  <c r="G187" i="2"/>
  <c r="J186" i="2"/>
  <c r="G186" i="2"/>
  <c r="J185" i="2"/>
  <c r="G185" i="2"/>
  <c r="J184" i="2"/>
  <c r="G184" i="2"/>
  <c r="J183" i="2"/>
  <c r="G183" i="2"/>
  <c r="J182" i="2"/>
  <c r="G182" i="2"/>
  <c r="J181" i="2"/>
  <c r="G181" i="2"/>
  <c r="J180" i="2"/>
  <c r="G180" i="2"/>
  <c r="J179" i="2"/>
  <c r="G179" i="2"/>
  <c r="J178" i="2"/>
  <c r="G178" i="2"/>
  <c r="J177" i="2"/>
  <c r="G177" i="2"/>
  <c r="J176" i="2"/>
  <c r="G176" i="2"/>
  <c r="J175" i="2"/>
  <c r="G175" i="2"/>
  <c r="J174" i="2"/>
  <c r="G174" i="2"/>
  <c r="J173" i="2"/>
  <c r="G173" i="2"/>
  <c r="J172" i="2"/>
  <c r="G172" i="2"/>
  <c r="J171" i="2"/>
  <c r="G171" i="2"/>
  <c r="J170" i="2"/>
  <c r="G170" i="2"/>
  <c r="J169" i="2"/>
  <c r="G169" i="2"/>
  <c r="J168" i="2"/>
  <c r="G168" i="2"/>
  <c r="J167" i="2"/>
  <c r="G167" i="2"/>
  <c r="J166" i="2"/>
  <c r="G166" i="2"/>
  <c r="J165" i="2"/>
  <c r="G165" i="2"/>
  <c r="J164" i="2"/>
  <c r="G164" i="2"/>
  <c r="J163" i="2"/>
  <c r="G163" i="2"/>
  <c r="J162" i="2"/>
  <c r="G162" i="2"/>
  <c r="J161" i="2"/>
  <c r="G161" i="2"/>
  <c r="J160" i="2"/>
  <c r="G160" i="2"/>
  <c r="J159" i="2"/>
  <c r="G159" i="2"/>
  <c r="J158" i="2"/>
  <c r="G158" i="2"/>
  <c r="J157" i="2"/>
  <c r="G157" i="2"/>
  <c r="J156" i="2"/>
  <c r="G156" i="2"/>
  <c r="J155" i="2"/>
  <c r="G155" i="2"/>
  <c r="J154" i="2"/>
  <c r="G154" i="2"/>
  <c r="J153" i="2"/>
  <c r="G153" i="2"/>
  <c r="J152" i="2"/>
  <c r="G152" i="2"/>
  <c r="J151" i="2"/>
  <c r="G151" i="2"/>
  <c r="J150" i="2"/>
  <c r="G150" i="2"/>
  <c r="J149" i="2"/>
  <c r="G149" i="2"/>
  <c r="J148" i="2"/>
  <c r="G148" i="2"/>
  <c r="J147" i="2"/>
  <c r="G147" i="2"/>
  <c r="J146" i="2"/>
  <c r="G146" i="2"/>
  <c r="J145" i="2"/>
  <c r="G145" i="2"/>
  <c r="J144" i="2"/>
  <c r="G144" i="2"/>
  <c r="J143" i="2"/>
  <c r="G143" i="2"/>
  <c r="J142" i="2"/>
  <c r="G142" i="2"/>
  <c r="J141" i="2"/>
  <c r="G141" i="2"/>
  <c r="J140" i="2"/>
  <c r="G140" i="2"/>
  <c r="J139" i="2"/>
  <c r="G139" i="2"/>
  <c r="J138" i="2"/>
  <c r="G138" i="2"/>
  <c r="J137" i="2"/>
  <c r="G137" i="2"/>
  <c r="J136" i="2"/>
  <c r="G136" i="2"/>
  <c r="J135" i="2"/>
  <c r="G135" i="2"/>
  <c r="J134" i="2"/>
  <c r="G134" i="2"/>
  <c r="J133" i="2"/>
  <c r="G133" i="2"/>
  <c r="J132" i="2"/>
  <c r="G132" i="2"/>
  <c r="J131" i="2"/>
  <c r="G131" i="2"/>
  <c r="J130" i="2"/>
  <c r="G130" i="2"/>
  <c r="J129" i="2"/>
  <c r="G129" i="2"/>
  <c r="J128" i="2"/>
  <c r="G128" i="2"/>
  <c r="J127" i="2"/>
  <c r="G127" i="2"/>
  <c r="J126" i="2"/>
  <c r="G126" i="2"/>
  <c r="J125" i="2"/>
  <c r="G125" i="2"/>
  <c r="J124" i="2"/>
  <c r="G124" i="2"/>
  <c r="J123" i="2"/>
  <c r="G123" i="2"/>
  <c r="J122" i="2"/>
  <c r="G122" i="2"/>
  <c r="J121" i="2"/>
  <c r="G121" i="2"/>
  <c r="J120" i="2"/>
  <c r="G120" i="2"/>
  <c r="J119" i="2"/>
  <c r="G119" i="2"/>
  <c r="J118" i="2"/>
  <c r="G118" i="2"/>
  <c r="J117" i="2"/>
  <c r="G117" i="2"/>
  <c r="J116" i="2"/>
  <c r="G116" i="2"/>
  <c r="J115" i="2"/>
  <c r="G115" i="2"/>
  <c r="J114" i="2"/>
  <c r="G114" i="2"/>
  <c r="J113" i="2"/>
  <c r="G113" i="2"/>
  <c r="J112" i="2"/>
  <c r="G112" i="2"/>
  <c r="J111" i="2"/>
  <c r="G111" i="2"/>
  <c r="J110" i="2"/>
  <c r="G110" i="2"/>
  <c r="J109" i="2"/>
  <c r="G109" i="2"/>
  <c r="J108" i="2"/>
  <c r="G108" i="2"/>
  <c r="J107" i="2"/>
  <c r="G107" i="2"/>
  <c r="J106" i="2"/>
  <c r="G106" i="2"/>
  <c r="J105" i="2"/>
  <c r="G105" i="2"/>
  <c r="J104" i="2"/>
  <c r="G104" i="2"/>
  <c r="J103" i="2"/>
  <c r="G103" i="2"/>
  <c r="J102" i="2"/>
  <c r="G102" i="2"/>
  <c r="J101" i="2"/>
  <c r="G101" i="2"/>
  <c r="J100" i="2"/>
  <c r="G100" i="2"/>
  <c r="J99" i="2"/>
  <c r="G99" i="2"/>
  <c r="J98" i="2"/>
  <c r="G98" i="2"/>
  <c r="J97" i="2"/>
  <c r="G97" i="2"/>
  <c r="J96" i="2"/>
  <c r="G96" i="2"/>
  <c r="J95" i="2"/>
  <c r="G95" i="2"/>
  <c r="J94" i="2"/>
  <c r="G94" i="2"/>
  <c r="J93" i="2"/>
  <c r="G93" i="2"/>
  <c r="J92" i="2"/>
  <c r="G92" i="2"/>
  <c r="J91" i="2"/>
  <c r="G91" i="2"/>
  <c r="J90" i="2"/>
  <c r="G90" i="2"/>
  <c r="J89" i="2"/>
  <c r="G89" i="2"/>
  <c r="J88" i="2"/>
  <c r="G88" i="2"/>
  <c r="J87" i="2"/>
  <c r="G87" i="2"/>
  <c r="J86" i="2"/>
  <c r="G86" i="2"/>
  <c r="J85" i="2"/>
  <c r="G85" i="2"/>
  <c r="J84" i="2"/>
  <c r="G84" i="2"/>
  <c r="J83" i="2"/>
  <c r="G83" i="2"/>
  <c r="J82" i="2"/>
  <c r="G82" i="2"/>
  <c r="J81" i="2"/>
  <c r="G81" i="2"/>
  <c r="J80" i="2"/>
  <c r="G80" i="2"/>
  <c r="J79" i="2"/>
  <c r="G79" i="2"/>
  <c r="J78" i="2"/>
  <c r="G78" i="2"/>
  <c r="J77" i="2"/>
  <c r="G77" i="2"/>
  <c r="J76" i="2"/>
  <c r="G76" i="2"/>
  <c r="J75" i="2"/>
  <c r="G75" i="2"/>
  <c r="J74" i="2"/>
  <c r="G74" i="2"/>
  <c r="J73" i="2"/>
  <c r="G73" i="2"/>
  <c r="J72" i="2"/>
  <c r="G72" i="2"/>
  <c r="J71" i="2"/>
  <c r="G71" i="2"/>
  <c r="J70" i="2"/>
  <c r="G70" i="2"/>
  <c r="J69" i="2"/>
  <c r="G69" i="2"/>
  <c r="J68" i="2"/>
  <c r="G68" i="2"/>
  <c r="J67" i="2"/>
  <c r="G67" i="2"/>
  <c r="J66" i="2"/>
  <c r="G66" i="2"/>
  <c r="J65" i="2"/>
  <c r="G65" i="2"/>
  <c r="J64" i="2"/>
  <c r="G64" i="2"/>
  <c r="J63" i="2"/>
  <c r="G63" i="2"/>
  <c r="J62" i="2"/>
  <c r="G62" i="2"/>
  <c r="J61" i="2"/>
  <c r="G61" i="2"/>
  <c r="J60" i="2"/>
  <c r="G60" i="2"/>
  <c r="J59" i="2"/>
  <c r="G59" i="2"/>
  <c r="J58" i="2"/>
  <c r="G58" i="2"/>
  <c r="J57" i="2"/>
  <c r="G57" i="2"/>
  <c r="J56" i="2"/>
  <c r="G56" i="2"/>
  <c r="J55" i="2"/>
  <c r="G55" i="2"/>
  <c r="J54" i="2"/>
  <c r="G54" i="2"/>
  <c r="J53" i="2"/>
  <c r="G53" i="2"/>
  <c r="J52" i="2"/>
  <c r="G52" i="2"/>
  <c r="J51" i="2"/>
  <c r="G51" i="2"/>
  <c r="J50" i="2"/>
  <c r="G50" i="2"/>
  <c r="J49" i="2"/>
  <c r="G49" i="2"/>
  <c r="J48" i="2"/>
  <c r="G48" i="2"/>
  <c r="J47" i="2"/>
  <c r="G47" i="2"/>
  <c r="J46" i="2"/>
  <c r="G46" i="2"/>
  <c r="J45" i="2"/>
  <c r="G45" i="2"/>
  <c r="J44" i="2"/>
  <c r="G44" i="2"/>
  <c r="J43" i="2"/>
  <c r="G43" i="2"/>
  <c r="J42" i="2"/>
  <c r="G42" i="2"/>
  <c r="J41" i="2"/>
  <c r="G41" i="2"/>
  <c r="J40" i="2"/>
  <c r="G40" i="2"/>
  <c r="J39" i="2"/>
  <c r="G39" i="2"/>
  <c r="J38" i="2"/>
  <c r="G38" i="2"/>
  <c r="J37" i="2"/>
  <c r="G37" i="2"/>
  <c r="J36" i="2"/>
  <c r="G36" i="2"/>
  <c r="J35" i="2"/>
  <c r="G35" i="2"/>
  <c r="J34" i="2"/>
  <c r="G34" i="2"/>
  <c r="J33" i="2"/>
  <c r="G33" i="2"/>
  <c r="J32" i="2"/>
  <c r="G32" i="2"/>
  <c r="J31" i="2"/>
  <c r="G31" i="2"/>
  <c r="J30" i="2"/>
  <c r="G30" i="2"/>
  <c r="J29" i="2"/>
  <c r="G29" i="2"/>
  <c r="J28" i="2"/>
  <c r="G28" i="2"/>
  <c r="J27" i="2"/>
  <c r="G27" i="2"/>
  <c r="J26" i="2"/>
  <c r="G26" i="2"/>
  <c r="J25" i="2"/>
  <c r="G25" i="2"/>
  <c r="J24" i="2"/>
  <c r="G24" i="2"/>
  <c r="J23" i="2"/>
  <c r="G23" i="2"/>
  <c r="J22" i="2"/>
  <c r="G22" i="2"/>
  <c r="J21" i="2"/>
  <c r="G21" i="2"/>
  <c r="J20" i="2"/>
  <c r="G20" i="2"/>
  <c r="J19" i="2"/>
  <c r="G19" i="2"/>
  <c r="J18" i="2"/>
  <c r="G18" i="2"/>
  <c r="J17" i="2"/>
  <c r="G17" i="2"/>
  <c r="J16" i="2"/>
  <c r="G16" i="2"/>
  <c r="J15" i="2"/>
  <c r="G15" i="2"/>
  <c r="J14" i="2"/>
  <c r="G14" i="2"/>
  <c r="J13" i="2"/>
  <c r="G13" i="2"/>
  <c r="J12" i="2"/>
  <c r="G12" i="2"/>
  <c r="J11" i="2"/>
  <c r="G11" i="2"/>
  <c r="J10" i="2"/>
  <c r="G10" i="2"/>
  <c r="J9" i="2"/>
  <c r="G9" i="2"/>
  <c r="J8" i="2"/>
  <c r="G8" i="2"/>
  <c r="J7" i="2"/>
  <c r="G7" i="2"/>
  <c r="J6" i="2"/>
  <c r="G6" i="2"/>
  <c r="J5" i="2"/>
  <c r="G5" i="2"/>
  <c r="J4" i="2"/>
  <c r="G4" i="2"/>
  <c r="J3" i="2"/>
  <c r="G3" i="2"/>
  <c r="J2" i="2"/>
  <c r="G2" i="2"/>
</calcChain>
</file>

<file path=xl/sharedStrings.xml><?xml version="1.0" encoding="utf-8"?>
<sst xmlns="http://schemas.openxmlformats.org/spreadsheetml/2006/main" count="793" uniqueCount="314">
  <si>
    <t>ABC</t>
  </si>
  <si>
    <t>EDS</t>
  </si>
  <si>
    <t>Product</t>
  </si>
  <si>
    <t>Units Sold</t>
  </si>
  <si>
    <t>Commission Rate</t>
  </si>
  <si>
    <t>Eds</t>
  </si>
  <si>
    <t>edr</t>
  </si>
  <si>
    <t>EDR</t>
  </si>
  <si>
    <t>EMPLOYEE NAME</t>
  </si>
  <si>
    <t>Department</t>
  </si>
  <si>
    <t>Hire Date</t>
  </si>
  <si>
    <t>Years</t>
  </si>
  <si>
    <t>Status</t>
  </si>
  <si>
    <t>Salary-Monthly</t>
  </si>
  <si>
    <t>Salary-Annual</t>
  </si>
  <si>
    <t>Tax Rate</t>
  </si>
  <si>
    <t>Income Tax</t>
  </si>
  <si>
    <t>Total Income</t>
  </si>
  <si>
    <t>Tax</t>
  </si>
  <si>
    <t>TaxTable</t>
  </si>
  <si>
    <t>PALMER, TERRY</t>
  </si>
  <si>
    <t>ADC</t>
  </si>
  <si>
    <t>Full Time</t>
  </si>
  <si>
    <t>NICHOLSON, LEE</t>
  </si>
  <si>
    <t>Half-Time</t>
  </si>
  <si>
    <t>JENSEN, KRISTINA</t>
  </si>
  <si>
    <t>Admin Training</t>
  </si>
  <si>
    <t>Hourly</t>
  </si>
  <si>
    <t>RANDALL, YVONNE</t>
  </si>
  <si>
    <t>COLE, ELBERT</t>
  </si>
  <si>
    <t>ALLEN, THOMAS</t>
  </si>
  <si>
    <t>Contract</t>
  </si>
  <si>
    <t>HOOVER, EVANGELINE</t>
  </si>
  <si>
    <t>HOUSE, PAUL</t>
  </si>
  <si>
    <t>HERNANDEZ, GLENN</t>
  </si>
  <si>
    <t>Audit Services</t>
  </si>
  <si>
    <t>SULLIVAN, ROBERT</t>
  </si>
  <si>
    <t>HICKS, MONICA</t>
  </si>
  <si>
    <t>BANKS, RYAN</t>
  </si>
  <si>
    <t>Compliance</t>
  </si>
  <si>
    <t>LUCAS, JOHN</t>
  </si>
  <si>
    <t>Engineering/Maintenance</t>
  </si>
  <si>
    <t>DURHAM, TROY</t>
  </si>
  <si>
    <t>MORENO, CHRISTOPHER</t>
  </si>
  <si>
    <t>OBRIEN, MADELYN</t>
  </si>
  <si>
    <t>TAYLOR, HECTOR</t>
  </si>
  <si>
    <t>MOSLEY, MICHAEL</t>
  </si>
  <si>
    <t>JENKINS, SCOTT</t>
  </si>
  <si>
    <t>NEWMAN, ARIA</t>
  </si>
  <si>
    <t>WALTER, MICHAEL</t>
  </si>
  <si>
    <t>HARRIS, BRIAN</t>
  </si>
  <si>
    <t>HALL, JENNY</t>
  </si>
  <si>
    <t>POWERS, TIA</t>
  </si>
  <si>
    <t>ADAMS, DAVID</t>
  </si>
  <si>
    <t>BRIDGES, JEFF</t>
  </si>
  <si>
    <t>JEFFERSON, ELAINE</t>
  </si>
  <si>
    <t>MITCHELL, SHANNON</t>
  </si>
  <si>
    <t>GIBSON, JANET</t>
  </si>
  <si>
    <t>MATTHEWS, DIANE</t>
  </si>
  <si>
    <t>NICHOLS, NATHANIEL</t>
  </si>
  <si>
    <t>TOWNSEND, JERRY</t>
  </si>
  <si>
    <t>CHASE, TROY</t>
  </si>
  <si>
    <t>Engineering/Operations</t>
  </si>
  <si>
    <t>LOPEZ, STEPHEN</t>
  </si>
  <si>
    <t>LOVE, DANNY</t>
  </si>
  <si>
    <t>CAMPOS, RICHARD</t>
  </si>
  <si>
    <t>Environmental Health/Safety</t>
  </si>
  <si>
    <t>ROBINSON, JOHN</t>
  </si>
  <si>
    <t>MELTON, SCOTT</t>
  </si>
  <si>
    <t>FERNANDEZ, MARIE</t>
  </si>
  <si>
    <t>Executive Education</t>
  </si>
  <si>
    <t>GREER, BRIAN</t>
  </si>
  <si>
    <t>MOODY, MATTHEW</t>
  </si>
  <si>
    <t>ANDERSON, TEASON</t>
  </si>
  <si>
    <t>SHARP, JANINE</t>
  </si>
  <si>
    <t>FOX, ELLEN</t>
  </si>
  <si>
    <t>DYER, CARRIE</t>
  </si>
  <si>
    <t>International Clinical Safety</t>
  </si>
  <si>
    <t>PENA, ERIK</t>
  </si>
  <si>
    <t>OLIVER, FRANCISCO</t>
  </si>
  <si>
    <t>Logistics</t>
  </si>
  <si>
    <t>NOBLE, MICHAEL</t>
  </si>
  <si>
    <t>NIXON, RANDY</t>
  </si>
  <si>
    <t>WALLACE, TIMOTHY</t>
  </si>
  <si>
    <t>CAMPBELL, MICHAEL</t>
  </si>
  <si>
    <t>SINGLETON, DAVID</t>
  </si>
  <si>
    <t>DOYLE, LESLIE</t>
  </si>
  <si>
    <t>STEELE, GERALD</t>
  </si>
  <si>
    <t>CARPENTER, RONALD</t>
  </si>
  <si>
    <t>ERICKSON, RICKY</t>
  </si>
  <si>
    <t>SHORT, TIMOTHY</t>
  </si>
  <si>
    <t>DAVIS, TONYA</t>
  </si>
  <si>
    <t>MCDONALD, DEBRA</t>
  </si>
  <si>
    <t>BARRON, MICHAEL</t>
  </si>
  <si>
    <t>Major Mfg Projects</t>
  </si>
  <si>
    <t>HORTON, CLEATIS</t>
  </si>
  <si>
    <t>WOLF, DEBBIE</t>
  </si>
  <si>
    <t>SUTTON, MATTHEW</t>
  </si>
  <si>
    <t>Manufacturing</t>
  </si>
  <si>
    <t>BARTLETT, JULIA</t>
  </si>
  <si>
    <t>FOWLER, JOHN</t>
  </si>
  <si>
    <t>DAWSON, JONATHAN</t>
  </si>
  <si>
    <t>BOOTH, RAQUEL</t>
  </si>
  <si>
    <t>ROBERSON, EILEEN</t>
  </si>
  <si>
    <t>MCKEE, MICHELLE</t>
  </si>
  <si>
    <t>BEASLEY, TIMOTHY</t>
  </si>
  <si>
    <t>AYALA, POLLY</t>
  </si>
  <si>
    <t>CONTRERAS, DEAN</t>
  </si>
  <si>
    <t>LANG, DANA</t>
  </si>
  <si>
    <t>JOSEPH, CHRISTOPHER</t>
  </si>
  <si>
    <t>BOONE, ERIC</t>
  </si>
  <si>
    <t>ROWE, KEN</t>
  </si>
  <si>
    <t>SEXTON, JOHN</t>
  </si>
  <si>
    <t>SCHWARTZ, JOSEPH</t>
  </si>
  <si>
    <t>ANDREWS, DIANE</t>
  </si>
  <si>
    <t>NORMAN, RITA</t>
  </si>
  <si>
    <t>MAYNARD, SUSAN</t>
  </si>
  <si>
    <t>SCHULTZ, NORMAN</t>
  </si>
  <si>
    <t>BURGESS, CHERIE</t>
  </si>
  <si>
    <t>CARR, SUSAN</t>
  </si>
  <si>
    <t>WHITE, DANIEL</t>
  </si>
  <si>
    <t>WATKINS, GARY</t>
  </si>
  <si>
    <t>RYAN, RYAN</t>
  </si>
  <si>
    <t>BALL, KIRK</t>
  </si>
  <si>
    <t>BEAN, DEBORAH</t>
  </si>
  <si>
    <t>BLACKWELL, BRANDON</t>
  </si>
  <si>
    <t>WEBSTER, DAVID</t>
  </si>
  <si>
    <t>RICH, BRENT</t>
  </si>
  <si>
    <t>BECK, CRAIG</t>
  </si>
  <si>
    <t>LESTER, SHERRI</t>
  </si>
  <si>
    <t>WALLS, BRIAN</t>
  </si>
  <si>
    <t>STOKES, JONATHAN</t>
  </si>
  <si>
    <t>LARSON, DAVID</t>
  </si>
  <si>
    <t>BARNES, GRANT</t>
  </si>
  <si>
    <t>CHRISTENSEN, JILL</t>
  </si>
  <si>
    <t>HUDSON, LORNA</t>
  </si>
  <si>
    <t>SOLOMON, MICHAEL</t>
  </si>
  <si>
    <t>GENTRY, JOHN</t>
  </si>
  <si>
    <t>NEAL, SALLY</t>
  </si>
  <si>
    <t>PEARSON, CASSY</t>
  </si>
  <si>
    <t>HUNT, NORMAN</t>
  </si>
  <si>
    <t>HOWELL, DOUGLAS</t>
  </si>
  <si>
    <t>BEARD, SANDI</t>
  </si>
  <si>
    <t>PAYNE, VICKY</t>
  </si>
  <si>
    <t>CAMERON, JOHN</t>
  </si>
  <si>
    <t>BAUER, CHRIS</t>
  </si>
  <si>
    <t>KELLY, ICELITA</t>
  </si>
  <si>
    <t>BLEVINS, CAREY</t>
  </si>
  <si>
    <t>OWEN, ROBERT</t>
  </si>
  <si>
    <t>Manufacturing Admin</t>
  </si>
  <si>
    <t>CALLAHAN, MARILYN</t>
  </si>
  <si>
    <t>BLAIR, SPERRY</t>
  </si>
  <si>
    <t>Operations</t>
  </si>
  <si>
    <t>WALKER, MIKE</t>
  </si>
  <si>
    <t>GATES, ANNE</t>
  </si>
  <si>
    <t>BRADY, TRACI</t>
  </si>
  <si>
    <t>VAZQUEZ, KENNETH</t>
  </si>
  <si>
    <t>STAFFORD, RHONDA</t>
  </si>
  <si>
    <t>TORRES, BRUCE</t>
  </si>
  <si>
    <t>SHELTON, DONNA</t>
  </si>
  <si>
    <t>CARLSON, JEREMY</t>
  </si>
  <si>
    <t>LANE, BRANDYN</t>
  </si>
  <si>
    <t>HODGE, CRAIG</t>
  </si>
  <si>
    <t>SIMMONS, ROBERT</t>
  </si>
  <si>
    <t>SHANNON, KEVIN</t>
  </si>
  <si>
    <t>HICKMAN, JOHN</t>
  </si>
  <si>
    <t>LARA, MARK</t>
  </si>
  <si>
    <t>ONEAL, WILLIAM</t>
  </si>
  <si>
    <t>HANSON, DENNIS</t>
  </si>
  <si>
    <t>BURNETT, KEVIN</t>
  </si>
  <si>
    <t>Peptide Chemistry</t>
  </si>
  <si>
    <t>JORDAN, MARK</t>
  </si>
  <si>
    <t>WEST, JEFFREY</t>
  </si>
  <si>
    <t>TANNER, TIMOTHY</t>
  </si>
  <si>
    <t>GREGORY, JON</t>
  </si>
  <si>
    <t>ORR, JENNIFER</t>
  </si>
  <si>
    <t>STEPHENSON, MATTHEW</t>
  </si>
  <si>
    <t>HOOD, RENEE</t>
  </si>
  <si>
    <t>Pharmacokinetics</t>
  </si>
  <si>
    <t>BRIGGS, BRYAN</t>
  </si>
  <si>
    <t>Process Development</t>
  </si>
  <si>
    <t>FRAZIER, CHRIS</t>
  </si>
  <si>
    <t>KNOX, LORI</t>
  </si>
  <si>
    <t>BOWERS, TAMMY</t>
  </si>
  <si>
    <t>LONG, GARY</t>
  </si>
  <si>
    <t>PRATT, ERIK</t>
  </si>
  <si>
    <t>FLOYD, ERIC</t>
  </si>
  <si>
    <t>COOPER, LISA</t>
  </si>
  <si>
    <t>MEYERS, DAVID</t>
  </si>
  <si>
    <t>LEON, EMILY</t>
  </si>
  <si>
    <t>PADILLA, CHRISTOPHER</t>
  </si>
  <si>
    <t>TERRY, KARIN</t>
  </si>
  <si>
    <t>GARZA, ANTHONY</t>
  </si>
  <si>
    <t>SNOW, DESIREE</t>
  </si>
  <si>
    <t>KNIGHT, DENISE</t>
  </si>
  <si>
    <t>LAMB, JOHN</t>
  </si>
  <si>
    <t>Professional Training Group</t>
  </si>
  <si>
    <t>SHERMAN, KARIN</t>
  </si>
  <si>
    <t>DUDLEY, JAMES</t>
  </si>
  <si>
    <t>GOMEZ, ED</t>
  </si>
  <si>
    <t>NGUYEN, DENNIS</t>
  </si>
  <si>
    <t>FLYNN, MELISSA</t>
  </si>
  <si>
    <t>Project &amp; Contract Services</t>
  </si>
  <si>
    <t>WHITEHEAD, CAROLYN</t>
  </si>
  <si>
    <t>BLAKE, THOMAS</t>
  </si>
  <si>
    <t>DANIEL, ROBERT</t>
  </si>
  <si>
    <t>DAVENPORT, TROY</t>
  </si>
  <si>
    <t>LEE, CHARLES</t>
  </si>
  <si>
    <t>BROWNING, KATHLEEN</t>
  </si>
  <si>
    <t>GOODMAN, KUYLER</t>
  </si>
  <si>
    <t>GOLDEN, CHRISTINE</t>
  </si>
  <si>
    <t>SCHMIDT, MICHAEL</t>
  </si>
  <si>
    <t>SMITH, KOLEEN</t>
  </si>
  <si>
    <t>PHILLIPS, LIESL</t>
  </si>
  <si>
    <t>SALINAS, JON</t>
  </si>
  <si>
    <t>FOLEY, PETER</t>
  </si>
  <si>
    <t>MCKENZIE, MICHELLE</t>
  </si>
  <si>
    <t>LYNCH, SCOTT</t>
  </si>
  <si>
    <t>ALEXANDER, CHARLES</t>
  </si>
  <si>
    <t>ALVAREZ, STEVEN</t>
  </si>
  <si>
    <t>HAYNES, ERNEST</t>
  </si>
  <si>
    <t>SIMPSON, JIMMY</t>
  </si>
  <si>
    <t>MENDOZA, BOBBY</t>
  </si>
  <si>
    <t>MALDONADO, ROBERT</t>
  </si>
  <si>
    <t>WHEELER, MEEGAN</t>
  </si>
  <si>
    <t>SHIELDS, ROBERT</t>
  </si>
  <si>
    <t>WILLIAMSON, SUMEDHA</t>
  </si>
  <si>
    <t>ATKINS, KEVIN</t>
  </si>
  <si>
    <t>GILES, KATHLEEN</t>
  </si>
  <si>
    <t>MILLS, MELISSA</t>
  </si>
  <si>
    <t>FORD, MATT</t>
  </si>
  <si>
    <t>RUSSELL, MARK</t>
  </si>
  <si>
    <t>Quality Assurance</t>
  </si>
  <si>
    <t>BARTON, BARRY</t>
  </si>
  <si>
    <t>MACK, BARRY</t>
  </si>
  <si>
    <t>ESTES, MARY</t>
  </si>
  <si>
    <t>ADKINS, MICHAEL</t>
  </si>
  <si>
    <t>ZIMMERMAN, JULIAN</t>
  </si>
  <si>
    <t>SELLERS, WILLIAM</t>
  </si>
  <si>
    <t>JACOBS, FLORIANNE</t>
  </si>
  <si>
    <t>MEDINA, WARREN</t>
  </si>
  <si>
    <t>MULLINS, ANGELA</t>
  </si>
  <si>
    <t>MASON, SUZANNE</t>
  </si>
  <si>
    <t>FRANCIS, TODD</t>
  </si>
  <si>
    <t>BUCKEL, PATRICIA</t>
  </si>
  <si>
    <t>MCKINNEY, CHRISTOFER</t>
  </si>
  <si>
    <t>CARROLL, LESA</t>
  </si>
  <si>
    <t>LYONS, BRIAN</t>
  </si>
  <si>
    <t>WATTS, CURTIS</t>
  </si>
  <si>
    <t>VANCE, CHERYL</t>
  </si>
  <si>
    <t>CASTILLO, SHERI</t>
  </si>
  <si>
    <t>LEBLANC, JENNY</t>
  </si>
  <si>
    <t>ROTH, TONY</t>
  </si>
  <si>
    <t>BENNETT, CHRIS</t>
  </si>
  <si>
    <t>JOHNSON, MARY JO</t>
  </si>
  <si>
    <t>HUTCHINSON, ROBIN</t>
  </si>
  <si>
    <t>ASHLEY, MICHAEL</t>
  </si>
  <si>
    <t>Quality Control</t>
  </si>
  <si>
    <t>BLANKENSHIP, ROGER</t>
  </si>
  <si>
    <t>REYNOLDS, BARBARA</t>
  </si>
  <si>
    <t>HUFF, ERIK</t>
  </si>
  <si>
    <t>WARD, WILLIAMS</t>
  </si>
  <si>
    <t>SALAZAR, RUBEN</t>
  </si>
  <si>
    <t>COPELAND, ROGER</t>
  </si>
  <si>
    <t>MCCARTHY, RYAN</t>
  </si>
  <si>
    <t>OWENS, DWIGHT</t>
  </si>
  <si>
    <t>GARNER, TERRY</t>
  </si>
  <si>
    <t>HOUSTON, MARK</t>
  </si>
  <si>
    <t>TUCKER, JAMES</t>
  </si>
  <si>
    <t>MCDANIEL, TAMARA</t>
  </si>
  <si>
    <t>SANCHEZ, GREG</t>
  </si>
  <si>
    <t>FISHER, MARIA</t>
  </si>
  <si>
    <t>CANNON, JENNY</t>
  </si>
  <si>
    <t>AVILA, JODY</t>
  </si>
  <si>
    <t>Patterson, Robert</t>
  </si>
  <si>
    <t>Hardin, Gregory</t>
  </si>
  <si>
    <t>HOURLY</t>
  </si>
  <si>
    <t>Griffin, Debbi</t>
  </si>
  <si>
    <t>Hansen, Andrew</t>
  </si>
  <si>
    <t>FULL TIME</t>
  </si>
  <si>
    <t>Martin, Terry</t>
  </si>
  <si>
    <t>Freeman, Dennis</t>
  </si>
  <si>
    <t>HALF-TIME</t>
  </si>
  <si>
    <t>Lowery, Charles</t>
  </si>
  <si>
    <t>Fletcher, Brian</t>
  </si>
  <si>
    <t>Mcclure, Gary</t>
  </si>
  <si>
    <t>Winters, Shaun</t>
  </si>
  <si>
    <t>Hull, Jeanne</t>
  </si>
  <si>
    <t>Barker, Heidi</t>
  </si>
  <si>
    <t>Navarro, Marc</t>
  </si>
  <si>
    <t>Rush, Lateef</t>
  </si>
  <si>
    <t>Everett, Dan</t>
  </si>
  <si>
    <t>Research Center</t>
  </si>
  <si>
    <t>Perez, Kim</t>
  </si>
  <si>
    <t>MARQUEZ, THOMAS</t>
  </si>
  <si>
    <t>Research/Development</t>
  </si>
  <si>
    <t>LINDSEY, DEBORAH</t>
  </si>
  <si>
    <t>Month</t>
  </si>
  <si>
    <t>Games</t>
  </si>
  <si>
    <t>Apps</t>
  </si>
  <si>
    <t>E-books</t>
  </si>
  <si>
    <t>apr</t>
  </si>
  <si>
    <t>aug</t>
  </si>
  <si>
    <t>Search The Month In Which Max Sales Occur</t>
  </si>
  <si>
    <t>jul</t>
  </si>
  <si>
    <t>jun</t>
  </si>
  <si>
    <t>may</t>
  </si>
  <si>
    <t>Highest sales</t>
  </si>
  <si>
    <t>nov</t>
  </si>
  <si>
    <t>Amount</t>
  </si>
  <si>
    <t>Index with Match</t>
  </si>
  <si>
    <t>oct</t>
  </si>
  <si>
    <t>sep</t>
  </si>
  <si>
    <t>Ebooks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</si>
</sst>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_);\(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10" fontId="2" fillId="3" borderId="1" xfId="1" applyNumberFormat="1" applyFont="1" applyFill="1" applyBorder="1"/>
    <xf numFmtId="10" fontId="2" fillId="0" borderId="1" xfId="0" applyNumberFormat="1" applyFont="1" applyBorder="1"/>
    <xf numFmtId="9" fontId="2" fillId="0" borderId="0" xfId="0" applyNumberFormat="1" applyFont="1"/>
    <xf numFmtId="10" fontId="2" fillId="0" borderId="0" xfId="1" applyNumberFormat="1" applyFont="1" applyFill="1" applyBorder="1"/>
    <xf numFmtId="0" fontId="4" fillId="4" borderId="1" xfId="2" applyFont="1" applyFill="1" applyBorder="1" applyAlignment="1">
      <alignment horizontal="left" vertical="top"/>
    </xf>
    <xf numFmtId="15" fontId="4" fillId="4" borderId="1" xfId="2" applyNumberFormat="1" applyFont="1" applyFill="1" applyBorder="1" applyAlignment="1">
      <alignment horizontal="left" vertical="top"/>
    </xf>
    <xf numFmtId="165" fontId="4" fillId="4" borderId="1" xfId="3" applyNumberFormat="1" applyFont="1" applyFill="1" applyBorder="1" applyAlignment="1" applyProtection="1">
      <alignment horizontal="left" vertical="top"/>
    </xf>
    <xf numFmtId="164" fontId="4" fillId="0" borderId="1" xfId="3" applyFont="1" applyBorder="1" applyProtection="1"/>
    <xf numFmtId="0" fontId="4" fillId="0" borderId="1" xfId="2" applyFont="1" applyBorder="1"/>
    <xf numFmtId="0" fontId="5" fillId="0" borderId="0" xfId="2" applyFont="1"/>
    <xf numFmtId="0" fontId="6" fillId="0" borderId="2" xfId="0" applyFont="1" applyBorder="1" applyAlignment="1">
      <alignment vertical="center"/>
    </xf>
    <xf numFmtId="0" fontId="7" fillId="0" borderId="0" xfId="0" applyFont="1"/>
    <xf numFmtId="0" fontId="4" fillId="0" borderId="1" xfId="2" applyFont="1" applyBorder="1" applyAlignment="1">
      <alignment horizontal="left" vertical="top"/>
    </xf>
    <xf numFmtId="15" fontId="4" fillId="0" borderId="1" xfId="2" applyNumberFormat="1" applyFont="1" applyBorder="1" applyAlignment="1">
      <alignment horizontal="left" vertical="top"/>
    </xf>
    <xf numFmtId="165" fontId="4" fillId="0" borderId="1" xfId="3" applyNumberFormat="1" applyFont="1" applyFill="1" applyBorder="1" applyAlignment="1" applyProtection="1">
      <alignment horizontal="left" vertical="top"/>
    </xf>
    <xf numFmtId="165" fontId="4" fillId="0" borderId="1" xfId="3" applyNumberFormat="1" applyFont="1" applyBorder="1" applyAlignment="1" applyProtection="1">
      <alignment horizontal="left" vertical="top"/>
    </xf>
    <xf numFmtId="9" fontId="4" fillId="0" borderId="1" xfId="1" applyFont="1" applyBorder="1" applyAlignment="1" applyProtection="1">
      <alignment horizontal="left" vertical="top"/>
    </xf>
    <xf numFmtId="164" fontId="4" fillId="0" borderId="1" xfId="3" applyFont="1" applyBorder="1" applyAlignment="1" applyProtection="1">
      <alignment horizontal="left" vertical="top"/>
    </xf>
    <xf numFmtId="166" fontId="5" fillId="5" borderId="3" xfId="3" applyNumberFormat="1" applyFont="1" applyFill="1" applyBorder="1" applyProtection="1"/>
    <xf numFmtId="0" fontId="5" fillId="5" borderId="3" xfId="0" applyFont="1" applyFill="1" applyBorder="1"/>
    <xf numFmtId="9" fontId="5" fillId="5" borderId="3" xfId="0" applyNumberFormat="1" applyFont="1" applyFill="1" applyBorder="1"/>
    <xf numFmtId="15" fontId="4" fillId="0" borderId="1" xfId="3" applyNumberFormat="1" applyFont="1" applyBorder="1" applyAlignment="1" applyProtection="1">
      <alignment horizontal="left" vertical="top"/>
    </xf>
    <xf numFmtId="164" fontId="7" fillId="0" borderId="0" xfId="3" applyFont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/>
  </cellXfs>
  <cellStyles count="4">
    <cellStyle name="Comma 2" xfId="3" xr:uid="{D508C82E-045D-43E6-A7A6-A391B75C33E7}"/>
    <cellStyle name="Normal" xfId="0" builtinId="0"/>
    <cellStyle name="Normal 2" xfId="2" xr:uid="{0A342772-6004-476D-BF60-942B32C5760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kavit/Downloads/1.Lookup%20Exer%20.xlsx" TargetMode="External"/><Relationship Id="rId2" Type="http://schemas.openxmlformats.org/officeDocument/2006/relationships/externalLinkPath" Target="file:///C:\Users\kavit\Downloads\1.Lookup%20Exer%20.xlsx" TargetMode="External"/><Relationship Id="rId1" Type="http://schemas.openxmlformats.org/officeDocument/2006/relationships/externalLinkPath" Target="/Users/kavit/Downloads/1.Lookup%20Exer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Sheet2"/>
      <sheetName val="CASE_1.1"/>
      <sheetName val="Sheet6"/>
      <sheetName val="Sheet5"/>
      <sheetName val="Sheet4"/>
      <sheetName val="Sheet3"/>
      <sheetName val="CASE_1.2"/>
      <sheetName val="V_lookup"/>
      <sheetName val="Vlookup-2"/>
      <sheetName val="Hlookup"/>
      <sheetName val="Indirect Function"/>
      <sheetName val="Vlookup Type 1 Case"/>
      <sheetName val="Lookup Function"/>
      <sheetName val="Sheet1"/>
    </sheetNames>
    <sheetDataSet>
      <sheetData sheetId="0"/>
      <sheetData sheetId="1"/>
      <sheetData sheetId="2">
        <row r="1">
          <cell r="A1" t="str">
            <v>File Number</v>
          </cell>
          <cell r="B1" t="str">
            <v>Description</v>
          </cell>
          <cell r="C1" t="str">
            <v>gst Audit</v>
          </cell>
          <cell r="D1" t="str">
            <v>Tax Audit</v>
          </cell>
          <cell r="E1" t="str">
            <v>Return Filing</v>
          </cell>
          <cell r="F1" t="str">
            <v>Total</v>
          </cell>
        </row>
        <row r="2">
          <cell r="A2">
            <v>1001</v>
          </cell>
          <cell r="B2" t="str">
            <v>JAGDAMBA STEELS</v>
          </cell>
          <cell r="C2">
            <v>1315</v>
          </cell>
          <cell r="D2">
            <v>3393</v>
          </cell>
          <cell r="E2">
            <v>1445</v>
          </cell>
          <cell r="F2">
            <v>6153</v>
          </cell>
        </row>
        <row r="3">
          <cell r="A3">
            <v>1002</v>
          </cell>
          <cell r="B3" t="str">
            <v>GAJJAN ASSOCIATES</v>
          </cell>
          <cell r="C3">
            <v>9862</v>
          </cell>
          <cell r="D3">
            <v>9534</v>
          </cell>
          <cell r="E3">
            <v>8097</v>
          </cell>
          <cell r="F3">
            <v>27493</v>
          </cell>
        </row>
        <row r="4">
          <cell r="A4">
            <v>1003</v>
          </cell>
          <cell r="B4" t="str">
            <v>GAYATRI ENTERPRISE</v>
          </cell>
          <cell r="C4">
            <v>6761</v>
          </cell>
          <cell r="D4">
            <v>5856</v>
          </cell>
          <cell r="E4">
            <v>1550</v>
          </cell>
          <cell r="F4">
            <v>14167</v>
          </cell>
        </row>
        <row r="5">
          <cell r="A5">
            <v>1004</v>
          </cell>
          <cell r="B5" t="str">
            <v>GM POLYMERS</v>
          </cell>
          <cell r="C5">
            <v>8320</v>
          </cell>
          <cell r="D5">
            <v>6745</v>
          </cell>
          <cell r="E5">
            <v>2875</v>
          </cell>
          <cell r="F5">
            <v>17940</v>
          </cell>
        </row>
        <row r="6">
          <cell r="A6">
            <v>1005</v>
          </cell>
          <cell r="B6" t="str">
            <v>MAHIPAL TRADERS</v>
          </cell>
          <cell r="C6">
            <v>2399</v>
          </cell>
          <cell r="D6">
            <v>3606</v>
          </cell>
          <cell r="E6">
            <v>2764</v>
          </cell>
          <cell r="F6">
            <v>8769</v>
          </cell>
        </row>
        <row r="7">
          <cell r="A7">
            <v>1001</v>
          </cell>
          <cell r="B7" t="str">
            <v>MAITRI GASSES</v>
          </cell>
          <cell r="C7">
            <v>5617</v>
          </cell>
          <cell r="D7">
            <v>9253</v>
          </cell>
          <cell r="E7">
            <v>5155</v>
          </cell>
          <cell r="F7">
            <v>20025</v>
          </cell>
        </row>
        <row r="8">
          <cell r="A8">
            <v>1007</v>
          </cell>
          <cell r="B8" t="str">
            <v>MANGLAM FASHIONS</v>
          </cell>
          <cell r="C8">
            <v>2594</v>
          </cell>
          <cell r="D8">
            <v>2876</v>
          </cell>
          <cell r="E8">
            <v>8858</v>
          </cell>
          <cell r="F8">
            <v>14328</v>
          </cell>
        </row>
        <row r="9">
          <cell r="A9">
            <v>1008</v>
          </cell>
          <cell r="B9" t="str">
            <v>GAJJAN ASSOCIATES</v>
          </cell>
          <cell r="C9">
            <v>8378</v>
          </cell>
          <cell r="D9">
            <v>6929</v>
          </cell>
          <cell r="E9">
            <v>4496</v>
          </cell>
          <cell r="F9">
            <v>19803</v>
          </cell>
        </row>
        <row r="10">
          <cell r="A10">
            <v>1009</v>
          </cell>
          <cell r="B10" t="str">
            <v>METRO POLYMERS</v>
          </cell>
          <cell r="C10">
            <v>4137</v>
          </cell>
          <cell r="D10">
            <v>4122</v>
          </cell>
          <cell r="E10">
            <v>4106</v>
          </cell>
          <cell r="F10">
            <v>12365</v>
          </cell>
        </row>
        <row r="11">
          <cell r="A11">
            <v>1010</v>
          </cell>
          <cell r="B11" t="str">
            <v>MOHIN DRESSES</v>
          </cell>
          <cell r="C11">
            <v>5510</v>
          </cell>
          <cell r="D11">
            <v>9658</v>
          </cell>
          <cell r="E11">
            <v>1930</v>
          </cell>
          <cell r="F11">
            <v>17098</v>
          </cell>
        </row>
        <row r="12">
          <cell r="A12">
            <v>1011</v>
          </cell>
          <cell r="B12" t="str">
            <v>SAHIL ENTERPRISES</v>
          </cell>
          <cell r="C12">
            <v>4270</v>
          </cell>
          <cell r="D12">
            <v>7448</v>
          </cell>
          <cell r="E12">
            <v>3943</v>
          </cell>
          <cell r="F12">
            <v>15661</v>
          </cell>
        </row>
        <row r="13">
          <cell r="A13">
            <v>1012</v>
          </cell>
          <cell r="B13" t="str">
            <v>SHYAM TRADING</v>
          </cell>
          <cell r="C13">
            <v>5178</v>
          </cell>
          <cell r="D13">
            <v>8814</v>
          </cell>
          <cell r="E13">
            <v>3739</v>
          </cell>
          <cell r="F13">
            <v>17731</v>
          </cell>
        </row>
        <row r="14">
          <cell r="A14">
            <v>1013</v>
          </cell>
          <cell r="B14" t="str">
            <v>VIBHU ENTERPRISES</v>
          </cell>
          <cell r="C14">
            <v>6753</v>
          </cell>
          <cell r="D14">
            <v>6821</v>
          </cell>
          <cell r="E14">
            <v>7590</v>
          </cell>
          <cell r="F14">
            <v>21164</v>
          </cell>
        </row>
        <row r="15">
          <cell r="A15">
            <v>1014</v>
          </cell>
          <cell r="B15" t="str">
            <v>SATYAM TRADERS</v>
          </cell>
          <cell r="C15">
            <v>4792</v>
          </cell>
          <cell r="D15">
            <v>8089</v>
          </cell>
          <cell r="E15">
            <v>5261</v>
          </cell>
          <cell r="F15">
            <v>18142</v>
          </cell>
        </row>
        <row r="16">
          <cell r="A16">
            <v>1015</v>
          </cell>
          <cell r="B16" t="str">
            <v>GEMINI CONSULTANTS</v>
          </cell>
          <cell r="C16">
            <v>3409</v>
          </cell>
          <cell r="D16">
            <v>1665</v>
          </cell>
          <cell r="E16">
            <v>6702</v>
          </cell>
          <cell r="F16">
            <v>11776</v>
          </cell>
        </row>
        <row r="17">
          <cell r="A17">
            <v>1016</v>
          </cell>
          <cell r="B17" t="str">
            <v>BIOTECH POLYMERS</v>
          </cell>
          <cell r="C17">
            <v>9735</v>
          </cell>
          <cell r="D17">
            <v>1736</v>
          </cell>
          <cell r="E17">
            <v>5216</v>
          </cell>
          <cell r="F17">
            <v>16687</v>
          </cell>
        </row>
        <row r="18">
          <cell r="A18">
            <v>1017</v>
          </cell>
          <cell r="B18" t="str">
            <v>TIRUPATI FERTLIZERS</v>
          </cell>
          <cell r="C18">
            <v>4346</v>
          </cell>
          <cell r="D18">
            <v>5733</v>
          </cell>
          <cell r="E18">
            <v>2591</v>
          </cell>
          <cell r="F18">
            <v>12670</v>
          </cell>
        </row>
        <row r="19">
          <cell r="A19">
            <v>1018</v>
          </cell>
          <cell r="B19" t="str">
            <v>BRILLIANT LAMINOSYS</v>
          </cell>
          <cell r="C19">
            <v>8507</v>
          </cell>
          <cell r="D19">
            <v>1608</v>
          </cell>
          <cell r="E19">
            <v>1822</v>
          </cell>
          <cell r="F19">
            <v>11937</v>
          </cell>
        </row>
        <row r="20">
          <cell r="A20">
            <v>1019</v>
          </cell>
          <cell r="B20" t="str">
            <v>GO WORLD TECH PVT LTD</v>
          </cell>
          <cell r="C20">
            <v>2528</v>
          </cell>
          <cell r="D20">
            <v>6598</v>
          </cell>
          <cell r="E20">
            <v>3799</v>
          </cell>
          <cell r="F20">
            <v>12925</v>
          </cell>
        </row>
        <row r="21">
          <cell r="A21">
            <v>1020</v>
          </cell>
          <cell r="B21" t="str">
            <v>SOHIN CHEMICALS</v>
          </cell>
          <cell r="C21">
            <v>3910</v>
          </cell>
          <cell r="D21">
            <v>5181</v>
          </cell>
          <cell r="E21">
            <v>3119</v>
          </cell>
          <cell r="F21">
            <v>12210</v>
          </cell>
        </row>
        <row r="22">
          <cell r="A22">
            <v>1021</v>
          </cell>
          <cell r="B22" t="str">
            <v>URMI CHEMICALS</v>
          </cell>
          <cell r="C22">
            <v>2552</v>
          </cell>
          <cell r="D22">
            <v>7592</v>
          </cell>
          <cell r="E22">
            <v>2315</v>
          </cell>
          <cell r="F22">
            <v>12459</v>
          </cell>
        </row>
        <row r="23">
          <cell r="A23">
            <v>1022</v>
          </cell>
          <cell r="B23" t="str">
            <v xml:space="preserve">GANDHI CHEMICALS   </v>
          </cell>
          <cell r="C23">
            <v>3075</v>
          </cell>
          <cell r="D23">
            <v>6067</v>
          </cell>
          <cell r="E23">
            <v>9122</v>
          </cell>
          <cell r="F23">
            <v>18264</v>
          </cell>
        </row>
        <row r="24">
          <cell r="A24">
            <v>1023</v>
          </cell>
          <cell r="B24" t="str">
            <v>BANG DATA FORMS</v>
          </cell>
          <cell r="C24">
            <v>7683</v>
          </cell>
          <cell r="D24">
            <v>4418</v>
          </cell>
          <cell r="E24">
            <v>1160</v>
          </cell>
          <cell r="F24">
            <v>13261</v>
          </cell>
        </row>
        <row r="25">
          <cell r="A25">
            <v>1024</v>
          </cell>
          <cell r="B25" t="str">
            <v>SURAJ EXPORTS</v>
          </cell>
          <cell r="C25">
            <v>3847</v>
          </cell>
          <cell r="D25">
            <v>3476</v>
          </cell>
          <cell r="E25">
            <v>2927</v>
          </cell>
          <cell r="F25">
            <v>10250</v>
          </cell>
        </row>
        <row r="26">
          <cell r="A26">
            <v>1025</v>
          </cell>
          <cell r="B26" t="str">
            <v>VINOD ENTERPISES</v>
          </cell>
          <cell r="C26">
            <v>3272</v>
          </cell>
          <cell r="D26">
            <v>2997</v>
          </cell>
          <cell r="E26">
            <v>8699</v>
          </cell>
          <cell r="F26">
            <v>14968</v>
          </cell>
        </row>
        <row r="27">
          <cell r="A27">
            <v>1026</v>
          </cell>
          <cell r="B27" t="str">
            <v>ALFA TRADING CO</v>
          </cell>
          <cell r="C27">
            <v>6845</v>
          </cell>
          <cell r="D27">
            <v>5107</v>
          </cell>
          <cell r="E27">
            <v>7171</v>
          </cell>
          <cell r="F27">
            <v>19123</v>
          </cell>
        </row>
        <row r="28">
          <cell r="A28">
            <v>1027</v>
          </cell>
          <cell r="B28" t="str">
            <v>SUNRISE TRADERS</v>
          </cell>
          <cell r="C28">
            <v>5451</v>
          </cell>
          <cell r="D28">
            <v>8184</v>
          </cell>
          <cell r="E28">
            <v>3523</v>
          </cell>
          <cell r="F28">
            <v>17158</v>
          </cell>
        </row>
      </sheetData>
      <sheetData sheetId="3"/>
      <sheetData sheetId="4"/>
      <sheetData sheetId="5"/>
      <sheetData sheetId="6"/>
      <sheetData sheetId="7">
        <row r="2">
          <cell r="J2" t="str">
            <v>Amt Sold</v>
          </cell>
          <cell r="K2" t="str">
            <v>Rate</v>
          </cell>
        </row>
        <row r="3">
          <cell r="G3">
            <v>0</v>
          </cell>
          <cell r="H3">
            <v>1.4999999999999999E-2</v>
          </cell>
          <cell r="J3">
            <v>0</v>
          </cell>
          <cell r="K3">
            <v>0.02</v>
          </cell>
        </row>
        <row r="4">
          <cell r="G4">
            <v>5000</v>
          </cell>
          <cell r="H4">
            <v>3.2500000000000001E-2</v>
          </cell>
          <cell r="J4">
            <v>50000</v>
          </cell>
          <cell r="K4">
            <v>6.25E-2</v>
          </cell>
        </row>
        <row r="5">
          <cell r="G5">
            <v>10000</v>
          </cell>
          <cell r="H5">
            <v>3.5000000000000003E-2</v>
          </cell>
          <cell r="J5">
            <v>100000</v>
          </cell>
          <cell r="K5">
            <v>7.2499999999999995E-2</v>
          </cell>
        </row>
        <row r="6">
          <cell r="G6">
            <v>20000</v>
          </cell>
          <cell r="H6">
            <v>0.05</v>
          </cell>
          <cell r="J6">
            <v>200000</v>
          </cell>
          <cell r="K6">
            <v>8.2500000000000004E-2</v>
          </cell>
        </row>
        <row r="7">
          <cell r="G7">
            <v>50000</v>
          </cell>
          <cell r="H7">
            <v>0.06</v>
          </cell>
          <cell r="J7">
            <v>300000</v>
          </cell>
          <cell r="K7">
            <v>9.2499999999999999E-2</v>
          </cell>
        </row>
        <row r="8">
          <cell r="G8">
            <v>100000</v>
          </cell>
          <cell r="H8">
            <v>7.0000000000000007E-2</v>
          </cell>
          <cell r="J8">
            <v>500000</v>
          </cell>
          <cell r="K8">
            <v>0.1</v>
          </cell>
        </row>
        <row r="9">
          <cell r="G9">
            <v>250000</v>
          </cell>
          <cell r="H9">
            <v>0.08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98DE-435B-4850-9325-3F7DD963803E}">
  <dimension ref="A2:J14"/>
  <sheetViews>
    <sheetView tabSelected="1" topLeftCell="E1" zoomScale="130" zoomScaleNormal="130" workbookViewId="0">
      <selection activeCell="K5" sqref="K5"/>
    </sheetView>
  </sheetViews>
  <sheetFormatPr defaultColWidth="9" defaultRowHeight="18.5" x14ac:dyDescent="0.45"/>
  <cols>
    <col min="1" max="1" width="7.7265625" style="1" bestFit="1" customWidth="1"/>
    <col min="2" max="2" width="9.7265625" style="1" bestFit="1" customWidth="1"/>
    <col min="3" max="3" width="16.453125" style="1" bestFit="1" customWidth="1"/>
    <col min="4" max="5" width="4.7265625" style="1" customWidth="1"/>
    <col min="6" max="6" width="16.26953125" style="1" customWidth="1"/>
    <col min="7" max="7" width="16.453125" style="1" bestFit="1" customWidth="1"/>
    <col min="8" max="8" width="3.453125" style="1" customWidth="1"/>
    <col min="9" max="9" width="9.7265625" style="1" bestFit="1" customWidth="1"/>
    <col min="10" max="10" width="16.453125" style="1" bestFit="1" customWidth="1"/>
    <col min="11" max="16384" width="9" style="1"/>
  </cols>
  <sheetData>
    <row r="2" spans="1:10" x14ac:dyDescent="0.45">
      <c r="F2" s="1" t="s">
        <v>0</v>
      </c>
      <c r="I2" s="1" t="s">
        <v>1</v>
      </c>
    </row>
    <row r="3" spans="1:10" x14ac:dyDescent="0.45">
      <c r="A3" s="2" t="s">
        <v>2</v>
      </c>
      <c r="B3" s="2" t="s">
        <v>3</v>
      </c>
      <c r="C3" s="2" t="s">
        <v>4</v>
      </c>
      <c r="F3" s="3" t="s">
        <v>3</v>
      </c>
      <c r="G3" s="3" t="s">
        <v>4</v>
      </c>
      <c r="I3" s="3" t="s">
        <v>3</v>
      </c>
      <c r="J3" s="3" t="s">
        <v>4</v>
      </c>
    </row>
    <row r="4" spans="1:10" x14ac:dyDescent="0.45">
      <c r="A4" s="2" t="s">
        <v>5</v>
      </c>
      <c r="B4" s="2">
        <v>431</v>
      </c>
      <c r="C4" s="4"/>
      <c r="F4" s="2">
        <v>0</v>
      </c>
      <c r="G4" s="5">
        <v>0.01</v>
      </c>
      <c r="I4" s="2">
        <v>0</v>
      </c>
      <c r="J4" s="5">
        <v>0.02</v>
      </c>
    </row>
    <row r="5" spans="1:10" x14ac:dyDescent="0.45">
      <c r="A5" s="2" t="s">
        <v>6</v>
      </c>
      <c r="B5" s="2">
        <v>65</v>
      </c>
      <c r="C5" s="4"/>
      <c r="F5" s="2">
        <v>100</v>
      </c>
      <c r="G5" s="5">
        <v>0.02</v>
      </c>
      <c r="I5" s="2">
        <v>300</v>
      </c>
      <c r="J5" s="5">
        <v>0.03</v>
      </c>
    </row>
    <row r="6" spans="1:10" x14ac:dyDescent="0.45">
      <c r="A6" s="2" t="s">
        <v>1</v>
      </c>
      <c r="B6" s="2">
        <v>563</v>
      </c>
      <c r="C6" s="4"/>
      <c r="F6" s="2">
        <v>200</v>
      </c>
      <c r="G6" s="5">
        <v>0.04</v>
      </c>
      <c r="I6" s="2">
        <v>500</v>
      </c>
      <c r="J6" s="5">
        <v>0.04</v>
      </c>
    </row>
    <row r="7" spans="1:10" x14ac:dyDescent="0.45">
      <c r="A7" s="2" t="s">
        <v>0</v>
      </c>
      <c r="B7" s="2">
        <v>493</v>
      </c>
      <c r="C7" s="4"/>
      <c r="F7" s="2">
        <v>500</v>
      </c>
      <c r="G7" s="5">
        <v>0.06</v>
      </c>
      <c r="I7" s="2">
        <v>750</v>
      </c>
      <c r="J7" s="5">
        <v>0.05</v>
      </c>
    </row>
    <row r="8" spans="1:10" x14ac:dyDescent="0.45">
      <c r="A8" s="2" t="s">
        <v>1</v>
      </c>
      <c r="B8" s="2">
        <v>188</v>
      </c>
      <c r="C8" s="4"/>
      <c r="I8" s="6"/>
    </row>
    <row r="9" spans="1:10" x14ac:dyDescent="0.45">
      <c r="F9" s="1" t="s">
        <v>7</v>
      </c>
    </row>
    <row r="10" spans="1:10" x14ac:dyDescent="0.45">
      <c r="A10" s="2" t="s">
        <v>0</v>
      </c>
      <c r="C10" s="7"/>
      <c r="F10" s="3" t="s">
        <v>3</v>
      </c>
      <c r="G10" s="3" t="s">
        <v>4</v>
      </c>
    </row>
    <row r="11" spans="1:10" x14ac:dyDescent="0.45">
      <c r="A11" s="2" t="s">
        <v>7</v>
      </c>
      <c r="F11" s="2">
        <v>0</v>
      </c>
      <c r="G11" s="5">
        <v>0.01</v>
      </c>
    </row>
    <row r="12" spans="1:10" x14ac:dyDescent="0.45">
      <c r="A12" s="2" t="s">
        <v>1</v>
      </c>
      <c r="F12" s="2">
        <v>200</v>
      </c>
      <c r="G12" s="5">
        <v>0.02</v>
      </c>
    </row>
    <row r="13" spans="1:10" x14ac:dyDescent="0.45">
      <c r="F13" s="2">
        <v>300</v>
      </c>
      <c r="G13" s="5">
        <v>0.04</v>
      </c>
    </row>
    <row r="14" spans="1:10" x14ac:dyDescent="0.45">
      <c r="F14" s="2">
        <v>400</v>
      </c>
      <c r="G14" s="5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4ECD-8FD2-45D8-9DC3-80F1075EB423}">
  <dimension ref="A1:N248"/>
  <sheetViews>
    <sheetView topLeftCell="G1" zoomScale="108" zoomScaleNormal="100" workbookViewId="0">
      <selection activeCell="L4" sqref="L4"/>
    </sheetView>
  </sheetViews>
  <sheetFormatPr defaultColWidth="9.26953125" defaultRowHeight="14.5" x14ac:dyDescent="0.35"/>
  <cols>
    <col min="1" max="1" width="27.1796875" style="15" bestFit="1" customWidth="1"/>
    <col min="2" max="2" width="31.1796875" style="15" bestFit="1" customWidth="1"/>
    <col min="3" max="3" width="12" style="15" bestFit="1" customWidth="1"/>
    <col min="4" max="4" width="6.453125" style="15" bestFit="1" customWidth="1"/>
    <col min="5" max="5" width="12" style="15" bestFit="1" customWidth="1"/>
    <col min="6" max="6" width="18.26953125" style="15" bestFit="1" customWidth="1"/>
    <col min="7" max="7" width="16.7265625" style="15" bestFit="1" customWidth="1"/>
    <col min="8" max="8" width="9.7265625" style="15" bestFit="1" customWidth="1"/>
    <col min="9" max="9" width="12.54296875" style="15" bestFit="1" customWidth="1"/>
    <col min="10" max="10" width="15.81640625" style="26" bestFit="1" customWidth="1"/>
    <col min="11" max="11" width="4.453125" style="15" bestFit="1" customWidth="1"/>
    <col min="12" max="12" width="9.26953125" style="15"/>
    <col min="13" max="13" width="11" style="15" bestFit="1" customWidth="1"/>
    <col min="14" max="14" width="4.26953125" style="15" bestFit="1" customWidth="1"/>
    <col min="15" max="16384" width="9.26953125" style="15"/>
  </cols>
  <sheetData>
    <row r="1" spans="1:14" ht="18.5" x14ac:dyDescent="0.45">
      <c r="A1" s="8" t="s">
        <v>8</v>
      </c>
      <c r="B1" s="8" t="s">
        <v>9</v>
      </c>
      <c r="C1" s="9" t="s">
        <v>10</v>
      </c>
      <c r="D1" s="8" t="s">
        <v>11</v>
      </c>
      <c r="E1" s="8" t="s">
        <v>12</v>
      </c>
      <c r="F1" s="10" t="s">
        <v>13</v>
      </c>
      <c r="G1" s="10" t="s">
        <v>14</v>
      </c>
      <c r="H1" s="8" t="s">
        <v>15</v>
      </c>
      <c r="I1" s="8" t="s">
        <v>16</v>
      </c>
      <c r="J1" s="11" t="s">
        <v>17</v>
      </c>
      <c r="K1" s="12" t="s">
        <v>18</v>
      </c>
      <c r="L1" s="13"/>
      <c r="M1" s="14" t="s">
        <v>19</v>
      </c>
      <c r="N1" s="14"/>
    </row>
    <row r="2" spans="1:14" ht="18.5" x14ac:dyDescent="0.45">
      <c r="A2" s="16" t="s">
        <v>20</v>
      </c>
      <c r="B2" s="16" t="s">
        <v>21</v>
      </c>
      <c r="C2" s="17">
        <v>35225</v>
      </c>
      <c r="D2" s="18">
        <v>18</v>
      </c>
      <c r="E2" s="16" t="s">
        <v>22</v>
      </c>
      <c r="F2" s="19">
        <v>41639</v>
      </c>
      <c r="G2" s="19">
        <f>+F2*12</f>
        <v>499668</v>
      </c>
      <c r="H2" s="20"/>
      <c r="I2" s="21"/>
      <c r="J2" s="11">
        <f>I2*12</f>
        <v>0</v>
      </c>
      <c r="K2" s="12"/>
      <c r="L2" s="13"/>
      <c r="M2" s="22">
        <v>0</v>
      </c>
      <c r="N2" s="23">
        <v>0</v>
      </c>
    </row>
    <row r="3" spans="1:14" ht="18.5" x14ac:dyDescent="0.45">
      <c r="A3" s="16" t="s">
        <v>23</v>
      </c>
      <c r="B3" s="16" t="s">
        <v>21</v>
      </c>
      <c r="C3" s="17">
        <v>32344</v>
      </c>
      <c r="D3" s="18">
        <v>26</v>
      </c>
      <c r="E3" s="16" t="s">
        <v>24</v>
      </c>
      <c r="F3" s="19">
        <v>56469</v>
      </c>
      <c r="G3" s="19">
        <f t="shared" ref="G3:G66" si="0">+F3*12</f>
        <v>677628</v>
      </c>
      <c r="H3" s="20"/>
      <c r="I3" s="21"/>
      <c r="J3" s="11">
        <f t="shared" ref="J3:J66" si="1">I3*12</f>
        <v>0</v>
      </c>
      <c r="K3" s="12"/>
      <c r="L3" s="13"/>
      <c r="M3" s="22">
        <v>5000</v>
      </c>
      <c r="N3" s="24">
        <v>0.01</v>
      </c>
    </row>
    <row r="4" spans="1:14" ht="18.5" x14ac:dyDescent="0.45">
      <c r="A4" s="16" t="s">
        <v>25</v>
      </c>
      <c r="B4" s="16" t="s">
        <v>26</v>
      </c>
      <c r="C4" s="17">
        <v>39180</v>
      </c>
      <c r="D4" s="18">
        <v>7</v>
      </c>
      <c r="E4" s="16" t="s">
        <v>27</v>
      </c>
      <c r="F4" s="19">
        <v>43302</v>
      </c>
      <c r="G4" s="19">
        <f t="shared" si="0"/>
        <v>519624</v>
      </c>
      <c r="H4" s="20"/>
      <c r="I4" s="21"/>
      <c r="J4" s="11">
        <f t="shared" si="1"/>
        <v>0</v>
      </c>
      <c r="K4" s="12"/>
      <c r="L4" s="13"/>
      <c r="M4" s="22">
        <v>15000</v>
      </c>
      <c r="N4" s="24">
        <v>0.03</v>
      </c>
    </row>
    <row r="5" spans="1:14" ht="18.5" x14ac:dyDescent="0.45">
      <c r="A5" s="16" t="s">
        <v>28</v>
      </c>
      <c r="B5" s="16" t="s">
        <v>26</v>
      </c>
      <c r="C5" s="17">
        <v>34518</v>
      </c>
      <c r="D5" s="18">
        <v>20</v>
      </c>
      <c r="E5" s="16" t="s">
        <v>22</v>
      </c>
      <c r="F5" s="19">
        <v>28122</v>
      </c>
      <c r="G5" s="19">
        <f t="shared" si="0"/>
        <v>337464</v>
      </c>
      <c r="H5" s="20"/>
      <c r="I5" s="21"/>
      <c r="J5" s="11">
        <f t="shared" si="1"/>
        <v>0</v>
      </c>
      <c r="K5" s="12"/>
      <c r="L5" s="13"/>
      <c r="M5" s="22">
        <v>25000</v>
      </c>
      <c r="N5" s="24">
        <v>0.05</v>
      </c>
    </row>
    <row r="6" spans="1:14" ht="18.5" x14ac:dyDescent="0.45">
      <c r="A6" s="16" t="s">
        <v>29</v>
      </c>
      <c r="B6" s="16" t="s">
        <v>26</v>
      </c>
      <c r="C6" s="17">
        <v>37196</v>
      </c>
      <c r="D6" s="18">
        <v>13</v>
      </c>
      <c r="E6" s="16" t="s">
        <v>22</v>
      </c>
      <c r="F6" s="19">
        <v>78644</v>
      </c>
      <c r="G6" s="19">
        <f t="shared" si="0"/>
        <v>943728</v>
      </c>
      <c r="H6" s="20"/>
      <c r="I6" s="21"/>
      <c r="J6" s="11">
        <f t="shared" si="1"/>
        <v>0</v>
      </c>
      <c r="K6" s="12"/>
      <c r="L6" s="13"/>
      <c r="M6" s="22">
        <v>35000</v>
      </c>
      <c r="N6" s="24">
        <v>0.06</v>
      </c>
    </row>
    <row r="7" spans="1:14" ht="18.5" x14ac:dyDescent="0.45">
      <c r="A7" s="16" t="s">
        <v>30</v>
      </c>
      <c r="B7" s="16" t="s">
        <v>26</v>
      </c>
      <c r="C7" s="17">
        <v>33130</v>
      </c>
      <c r="D7" s="18">
        <v>24</v>
      </c>
      <c r="E7" s="16" t="s">
        <v>31</v>
      </c>
      <c r="F7" s="19">
        <v>75511</v>
      </c>
      <c r="G7" s="19">
        <f t="shared" si="0"/>
        <v>906132</v>
      </c>
      <c r="H7" s="20"/>
      <c r="I7" s="21"/>
      <c r="J7" s="11">
        <f t="shared" si="1"/>
        <v>0</v>
      </c>
      <c r="K7" s="12"/>
      <c r="L7" s="13"/>
      <c r="M7" s="22">
        <v>45000</v>
      </c>
      <c r="N7" s="24">
        <v>7.0000000000000007E-2</v>
      </c>
    </row>
    <row r="8" spans="1:14" ht="18.5" x14ac:dyDescent="0.45">
      <c r="A8" s="16" t="s">
        <v>32</v>
      </c>
      <c r="B8" s="16" t="s">
        <v>26</v>
      </c>
      <c r="C8" s="17">
        <v>35314</v>
      </c>
      <c r="D8" s="18">
        <v>18</v>
      </c>
      <c r="E8" s="16" t="s">
        <v>22</v>
      </c>
      <c r="F8" s="19">
        <v>42909</v>
      </c>
      <c r="G8" s="19">
        <f t="shared" si="0"/>
        <v>514908</v>
      </c>
      <c r="H8" s="20"/>
      <c r="I8" s="21"/>
      <c r="J8" s="11">
        <f t="shared" si="1"/>
        <v>0</v>
      </c>
      <c r="K8" s="12"/>
      <c r="L8" s="13"/>
      <c r="M8" s="22">
        <v>55000</v>
      </c>
      <c r="N8" s="24">
        <v>0.08</v>
      </c>
    </row>
    <row r="9" spans="1:14" ht="18.5" x14ac:dyDescent="0.45">
      <c r="A9" s="16" t="s">
        <v>33</v>
      </c>
      <c r="B9" s="16" t="s">
        <v>26</v>
      </c>
      <c r="C9" s="17">
        <v>35818</v>
      </c>
      <c r="D9" s="18">
        <v>16</v>
      </c>
      <c r="E9" s="16" t="s">
        <v>22</v>
      </c>
      <c r="F9" s="19">
        <v>52255</v>
      </c>
      <c r="G9" s="19">
        <f t="shared" si="0"/>
        <v>627060</v>
      </c>
      <c r="H9" s="20"/>
      <c r="I9" s="21"/>
      <c r="J9" s="11">
        <f t="shared" si="1"/>
        <v>0</v>
      </c>
      <c r="K9" s="12"/>
      <c r="L9" s="13"/>
      <c r="M9" s="22">
        <v>65000</v>
      </c>
      <c r="N9" s="24">
        <v>0.1</v>
      </c>
    </row>
    <row r="10" spans="1:14" ht="18.5" x14ac:dyDescent="0.45">
      <c r="A10" s="16" t="s">
        <v>34</v>
      </c>
      <c r="B10" s="16" t="s">
        <v>35</v>
      </c>
      <c r="C10" s="17">
        <v>37105</v>
      </c>
      <c r="D10" s="18">
        <v>13</v>
      </c>
      <c r="E10" s="16" t="s">
        <v>22</v>
      </c>
      <c r="F10" s="19">
        <v>54972</v>
      </c>
      <c r="G10" s="19">
        <f t="shared" si="0"/>
        <v>659664</v>
      </c>
      <c r="H10" s="20"/>
      <c r="I10" s="21"/>
      <c r="J10" s="11">
        <f t="shared" si="1"/>
        <v>0</v>
      </c>
      <c r="K10" s="12"/>
      <c r="L10" s="13"/>
      <c r="M10" s="22">
        <v>75000</v>
      </c>
      <c r="N10" s="24">
        <v>0.11</v>
      </c>
    </row>
    <row r="11" spans="1:14" ht="18.5" x14ac:dyDescent="0.45">
      <c r="A11" s="16" t="s">
        <v>36</v>
      </c>
      <c r="B11" s="16" t="s">
        <v>35</v>
      </c>
      <c r="C11" s="17">
        <v>39160</v>
      </c>
      <c r="D11" s="18">
        <v>7</v>
      </c>
      <c r="E11" s="16" t="s">
        <v>22</v>
      </c>
      <c r="F11" s="19">
        <v>42401</v>
      </c>
      <c r="G11" s="19">
        <f t="shared" si="0"/>
        <v>508812</v>
      </c>
      <c r="H11" s="20"/>
      <c r="I11" s="21"/>
      <c r="J11" s="11">
        <f t="shared" si="1"/>
        <v>0</v>
      </c>
      <c r="K11" s="12"/>
      <c r="L11" s="13"/>
      <c r="M11" s="22">
        <v>85000</v>
      </c>
      <c r="N11" s="24">
        <v>0.12</v>
      </c>
    </row>
    <row r="12" spans="1:14" ht="18.5" x14ac:dyDescent="0.45">
      <c r="A12" s="16" t="s">
        <v>37</v>
      </c>
      <c r="B12" s="16" t="s">
        <v>35</v>
      </c>
      <c r="C12" s="17">
        <v>35947</v>
      </c>
      <c r="D12" s="18">
        <v>16</v>
      </c>
      <c r="E12" s="16" t="s">
        <v>22</v>
      </c>
      <c r="F12" s="19">
        <v>49882</v>
      </c>
      <c r="G12" s="19">
        <f t="shared" si="0"/>
        <v>598584</v>
      </c>
      <c r="H12" s="20"/>
      <c r="I12" s="21"/>
      <c r="J12" s="11">
        <f t="shared" si="1"/>
        <v>0</v>
      </c>
      <c r="K12" s="12"/>
      <c r="L12" s="13"/>
      <c r="M12" s="22">
        <v>95000</v>
      </c>
      <c r="N12" s="24">
        <v>0.13</v>
      </c>
    </row>
    <row r="13" spans="1:14" ht="18.5" x14ac:dyDescent="0.45">
      <c r="A13" s="16" t="s">
        <v>38</v>
      </c>
      <c r="B13" s="16" t="s">
        <v>39</v>
      </c>
      <c r="C13" s="17">
        <v>32767</v>
      </c>
      <c r="D13" s="18">
        <v>25</v>
      </c>
      <c r="E13" s="16" t="s">
        <v>22</v>
      </c>
      <c r="F13" s="19">
        <v>25901</v>
      </c>
      <c r="G13" s="19">
        <f t="shared" si="0"/>
        <v>310812</v>
      </c>
      <c r="H13" s="20"/>
      <c r="I13" s="21"/>
      <c r="J13" s="11">
        <f t="shared" si="1"/>
        <v>0</v>
      </c>
      <c r="K13" s="12"/>
      <c r="L13" s="13"/>
      <c r="M13" s="13"/>
      <c r="N13" s="13"/>
    </row>
    <row r="14" spans="1:14" ht="18.5" x14ac:dyDescent="0.45">
      <c r="A14" s="16" t="s">
        <v>40</v>
      </c>
      <c r="B14" s="16" t="s">
        <v>41</v>
      </c>
      <c r="C14" s="17">
        <v>32402</v>
      </c>
      <c r="D14" s="18">
        <v>26</v>
      </c>
      <c r="E14" s="16" t="s">
        <v>22</v>
      </c>
      <c r="F14" s="19">
        <v>51437</v>
      </c>
      <c r="G14" s="19">
        <f t="shared" si="0"/>
        <v>617244</v>
      </c>
      <c r="H14" s="20"/>
      <c r="I14" s="21"/>
      <c r="J14" s="11">
        <f t="shared" si="1"/>
        <v>0</v>
      </c>
      <c r="K14" s="12"/>
      <c r="L14" s="13"/>
      <c r="M14" s="13"/>
      <c r="N14" s="13"/>
    </row>
    <row r="15" spans="1:14" ht="18.5" x14ac:dyDescent="0.45">
      <c r="A15" s="16" t="s">
        <v>42</v>
      </c>
      <c r="B15" s="16" t="s">
        <v>41</v>
      </c>
      <c r="C15" s="17">
        <v>34309</v>
      </c>
      <c r="D15" s="18">
        <v>21</v>
      </c>
      <c r="E15" s="16" t="s">
        <v>31</v>
      </c>
      <c r="F15" s="19">
        <v>75717</v>
      </c>
      <c r="G15" s="19">
        <f t="shared" si="0"/>
        <v>908604</v>
      </c>
      <c r="H15" s="20"/>
      <c r="I15" s="21"/>
      <c r="J15" s="11">
        <f t="shared" si="1"/>
        <v>0</v>
      </c>
      <c r="K15" s="12"/>
      <c r="L15" s="13"/>
      <c r="M15" s="13"/>
      <c r="N15" s="13"/>
    </row>
    <row r="16" spans="1:14" ht="18.5" x14ac:dyDescent="0.45">
      <c r="A16" s="16" t="s">
        <v>43</v>
      </c>
      <c r="B16" s="16" t="s">
        <v>41</v>
      </c>
      <c r="C16" s="17">
        <v>36072</v>
      </c>
      <c r="D16" s="18">
        <v>16</v>
      </c>
      <c r="E16" s="16" t="s">
        <v>22</v>
      </c>
      <c r="F16" s="19">
        <v>25187</v>
      </c>
      <c r="G16" s="19">
        <f t="shared" si="0"/>
        <v>302244</v>
      </c>
      <c r="H16" s="20"/>
      <c r="I16" s="21"/>
      <c r="J16" s="11">
        <f t="shared" si="1"/>
        <v>0</v>
      </c>
      <c r="K16" s="12"/>
      <c r="L16" s="13"/>
      <c r="M16" s="13"/>
      <c r="N16" s="13"/>
    </row>
    <row r="17" spans="1:14" ht="18.5" x14ac:dyDescent="0.45">
      <c r="A17" s="16" t="s">
        <v>44</v>
      </c>
      <c r="B17" s="16" t="s">
        <v>41</v>
      </c>
      <c r="C17" s="17">
        <v>33220</v>
      </c>
      <c r="D17" s="18">
        <v>24</v>
      </c>
      <c r="E17" s="16" t="s">
        <v>24</v>
      </c>
      <c r="F17" s="19">
        <v>54294</v>
      </c>
      <c r="G17" s="19">
        <f t="shared" si="0"/>
        <v>651528</v>
      </c>
      <c r="H17" s="20"/>
      <c r="I17" s="21"/>
      <c r="J17" s="11">
        <f t="shared" si="1"/>
        <v>0</v>
      </c>
      <c r="K17" s="12"/>
      <c r="L17" s="13"/>
      <c r="M17" s="13"/>
      <c r="N17" s="13"/>
    </row>
    <row r="18" spans="1:14" ht="18.5" x14ac:dyDescent="0.45">
      <c r="A18" s="16" t="s">
        <v>45</v>
      </c>
      <c r="B18" s="16" t="s">
        <v>41</v>
      </c>
      <c r="C18" s="17">
        <v>36295</v>
      </c>
      <c r="D18" s="18">
        <v>15</v>
      </c>
      <c r="E18" s="16" t="s">
        <v>22</v>
      </c>
      <c r="F18" s="19">
        <v>54271</v>
      </c>
      <c r="G18" s="19">
        <f t="shared" si="0"/>
        <v>651252</v>
      </c>
      <c r="H18" s="20"/>
      <c r="I18" s="21"/>
      <c r="J18" s="11">
        <f t="shared" si="1"/>
        <v>0</v>
      </c>
      <c r="K18" s="12"/>
      <c r="L18" s="13"/>
      <c r="M18" s="13"/>
      <c r="N18" s="13"/>
    </row>
    <row r="19" spans="1:14" ht="18.5" x14ac:dyDescent="0.45">
      <c r="A19" s="16" t="s">
        <v>46</v>
      </c>
      <c r="B19" s="16" t="s">
        <v>41</v>
      </c>
      <c r="C19" s="17">
        <v>35656</v>
      </c>
      <c r="D19" s="18">
        <v>17</v>
      </c>
      <c r="E19" s="16" t="s">
        <v>27</v>
      </c>
      <c r="F19" s="19">
        <v>61080</v>
      </c>
      <c r="G19" s="19">
        <f t="shared" si="0"/>
        <v>732960</v>
      </c>
      <c r="H19" s="20"/>
      <c r="I19" s="21"/>
      <c r="J19" s="11">
        <f t="shared" si="1"/>
        <v>0</v>
      </c>
      <c r="K19" s="12"/>
      <c r="L19" s="13"/>
      <c r="M19" s="13"/>
      <c r="N19" s="13"/>
    </row>
    <row r="20" spans="1:14" ht="18.5" x14ac:dyDescent="0.45">
      <c r="A20" s="16" t="s">
        <v>47</v>
      </c>
      <c r="B20" s="16" t="s">
        <v>41</v>
      </c>
      <c r="C20" s="17">
        <v>34251</v>
      </c>
      <c r="D20" s="18">
        <v>21</v>
      </c>
      <c r="E20" s="16" t="s">
        <v>22</v>
      </c>
      <c r="F20" s="19">
        <v>77694</v>
      </c>
      <c r="G20" s="19">
        <f t="shared" si="0"/>
        <v>932328</v>
      </c>
      <c r="H20" s="20"/>
      <c r="I20" s="21"/>
      <c r="J20" s="11">
        <f t="shared" si="1"/>
        <v>0</v>
      </c>
      <c r="K20" s="12"/>
      <c r="L20" s="13"/>
      <c r="M20" s="13"/>
      <c r="N20" s="13"/>
    </row>
    <row r="21" spans="1:14" ht="18.5" x14ac:dyDescent="0.45">
      <c r="A21" s="16" t="s">
        <v>48</v>
      </c>
      <c r="B21" s="16" t="s">
        <v>41</v>
      </c>
      <c r="C21" s="17">
        <v>32526</v>
      </c>
      <c r="D21" s="18">
        <v>25</v>
      </c>
      <c r="E21" s="16" t="s">
        <v>24</v>
      </c>
      <c r="F21" s="19">
        <v>52424</v>
      </c>
      <c r="G21" s="19">
        <f t="shared" si="0"/>
        <v>629088</v>
      </c>
      <c r="H21" s="20"/>
      <c r="I21" s="21"/>
      <c r="J21" s="11">
        <f t="shared" si="1"/>
        <v>0</v>
      </c>
      <c r="K21" s="12"/>
      <c r="L21" s="13"/>
      <c r="M21" s="13"/>
      <c r="N21" s="13"/>
    </row>
    <row r="22" spans="1:14" ht="18.5" x14ac:dyDescent="0.45">
      <c r="A22" s="16" t="s">
        <v>49</v>
      </c>
      <c r="B22" s="16" t="s">
        <v>41</v>
      </c>
      <c r="C22" s="17">
        <v>33528</v>
      </c>
      <c r="D22" s="18">
        <v>23</v>
      </c>
      <c r="E22" s="16" t="s">
        <v>22</v>
      </c>
      <c r="F22" s="19">
        <v>55119</v>
      </c>
      <c r="G22" s="19">
        <f t="shared" si="0"/>
        <v>661428</v>
      </c>
      <c r="H22" s="20"/>
      <c r="I22" s="21"/>
      <c r="J22" s="11">
        <f t="shared" si="1"/>
        <v>0</v>
      </c>
      <c r="K22" s="12"/>
      <c r="L22" s="13"/>
      <c r="M22" s="13"/>
      <c r="N22" s="13"/>
    </row>
    <row r="23" spans="1:14" ht="18.5" x14ac:dyDescent="0.45">
      <c r="A23" s="16" t="s">
        <v>50</v>
      </c>
      <c r="B23" s="16" t="s">
        <v>41</v>
      </c>
      <c r="C23" s="17">
        <v>33035</v>
      </c>
      <c r="D23" s="18">
        <v>24</v>
      </c>
      <c r="E23" s="16" t="s">
        <v>31</v>
      </c>
      <c r="F23" s="19">
        <v>78042</v>
      </c>
      <c r="G23" s="19">
        <f t="shared" si="0"/>
        <v>936504</v>
      </c>
      <c r="H23" s="20"/>
      <c r="I23" s="21"/>
      <c r="J23" s="11">
        <f t="shared" si="1"/>
        <v>0</v>
      </c>
      <c r="K23" s="12"/>
      <c r="L23" s="13"/>
      <c r="M23" s="13"/>
      <c r="N23" s="13"/>
    </row>
    <row r="24" spans="1:14" ht="18.5" x14ac:dyDescent="0.45">
      <c r="A24" s="16" t="s">
        <v>51</v>
      </c>
      <c r="B24" s="16" t="s">
        <v>41</v>
      </c>
      <c r="C24" s="17">
        <v>33886</v>
      </c>
      <c r="D24" s="18">
        <v>22</v>
      </c>
      <c r="E24" s="16" t="s">
        <v>22</v>
      </c>
      <c r="F24" s="19">
        <v>32873</v>
      </c>
      <c r="G24" s="19">
        <f t="shared" si="0"/>
        <v>394476</v>
      </c>
      <c r="H24" s="20"/>
      <c r="I24" s="21"/>
      <c r="J24" s="11">
        <f t="shared" si="1"/>
        <v>0</v>
      </c>
      <c r="K24" s="12"/>
      <c r="L24" s="13"/>
      <c r="M24" s="13"/>
      <c r="N24" s="13"/>
    </row>
    <row r="25" spans="1:14" ht="18.5" x14ac:dyDescent="0.45">
      <c r="A25" s="16" t="s">
        <v>52</v>
      </c>
      <c r="B25" s="16" t="s">
        <v>41</v>
      </c>
      <c r="C25" s="17">
        <v>38024</v>
      </c>
      <c r="D25" s="18">
        <v>10</v>
      </c>
      <c r="E25" s="16" t="s">
        <v>31</v>
      </c>
      <c r="F25" s="19">
        <v>22597</v>
      </c>
      <c r="G25" s="19">
        <f t="shared" si="0"/>
        <v>271164</v>
      </c>
      <c r="H25" s="20"/>
      <c r="I25" s="21"/>
      <c r="J25" s="11">
        <f t="shared" si="1"/>
        <v>0</v>
      </c>
      <c r="K25" s="12"/>
      <c r="L25" s="13"/>
      <c r="M25" s="13"/>
      <c r="N25" s="13"/>
    </row>
    <row r="26" spans="1:14" ht="18.5" x14ac:dyDescent="0.45">
      <c r="A26" s="16" t="s">
        <v>53</v>
      </c>
      <c r="B26" s="16" t="s">
        <v>41</v>
      </c>
      <c r="C26" s="25">
        <v>39346</v>
      </c>
      <c r="D26" s="18">
        <v>7</v>
      </c>
      <c r="E26" s="16" t="s">
        <v>22</v>
      </c>
      <c r="F26" s="19">
        <v>66175</v>
      </c>
      <c r="G26" s="19">
        <f t="shared" si="0"/>
        <v>794100</v>
      </c>
      <c r="H26" s="20"/>
      <c r="I26" s="21"/>
      <c r="J26" s="11">
        <f t="shared" si="1"/>
        <v>0</v>
      </c>
      <c r="K26" s="12"/>
      <c r="L26" s="13"/>
      <c r="M26" s="13"/>
      <c r="N26" s="13"/>
    </row>
    <row r="27" spans="1:14" ht="18.5" x14ac:dyDescent="0.45">
      <c r="A27" s="16" t="s">
        <v>54</v>
      </c>
      <c r="B27" s="16" t="s">
        <v>41</v>
      </c>
      <c r="C27" s="17">
        <v>34883</v>
      </c>
      <c r="D27" s="18">
        <v>19</v>
      </c>
      <c r="E27" s="16" t="s">
        <v>22</v>
      </c>
      <c r="F27" s="19">
        <v>67420</v>
      </c>
      <c r="G27" s="19">
        <f t="shared" si="0"/>
        <v>809040</v>
      </c>
      <c r="H27" s="20"/>
      <c r="I27" s="21"/>
      <c r="J27" s="11">
        <f t="shared" si="1"/>
        <v>0</v>
      </c>
      <c r="K27" s="12"/>
      <c r="L27" s="13"/>
      <c r="M27" s="13"/>
      <c r="N27" s="13"/>
    </row>
    <row r="28" spans="1:14" ht="18.5" x14ac:dyDescent="0.45">
      <c r="A28" s="16" t="s">
        <v>55</v>
      </c>
      <c r="B28" s="16" t="s">
        <v>41</v>
      </c>
      <c r="C28" s="17">
        <v>34896</v>
      </c>
      <c r="D28" s="18">
        <v>19</v>
      </c>
      <c r="E28" s="16" t="s">
        <v>24</v>
      </c>
      <c r="F28" s="19">
        <v>38999</v>
      </c>
      <c r="G28" s="19">
        <f t="shared" si="0"/>
        <v>467988</v>
      </c>
      <c r="H28" s="20"/>
      <c r="I28" s="21"/>
      <c r="J28" s="11">
        <f t="shared" si="1"/>
        <v>0</v>
      </c>
      <c r="K28" s="12"/>
      <c r="L28" s="13"/>
      <c r="M28" s="13"/>
      <c r="N28" s="13"/>
    </row>
    <row r="29" spans="1:14" ht="18.5" x14ac:dyDescent="0.45">
      <c r="A29" s="16" t="s">
        <v>56</v>
      </c>
      <c r="B29" s="16" t="s">
        <v>41</v>
      </c>
      <c r="C29" s="17">
        <v>34956</v>
      </c>
      <c r="D29" s="18">
        <v>19</v>
      </c>
      <c r="E29" s="16" t="s">
        <v>31</v>
      </c>
      <c r="F29" s="19">
        <v>31447</v>
      </c>
      <c r="G29" s="19">
        <f t="shared" si="0"/>
        <v>377364</v>
      </c>
      <c r="H29" s="20"/>
      <c r="I29" s="21"/>
      <c r="J29" s="11">
        <f t="shared" si="1"/>
        <v>0</v>
      </c>
      <c r="K29" s="12"/>
      <c r="L29" s="13"/>
      <c r="M29" s="13"/>
      <c r="N29" s="13"/>
    </row>
    <row r="30" spans="1:14" ht="18.5" x14ac:dyDescent="0.45">
      <c r="A30" s="16" t="s">
        <v>57</v>
      </c>
      <c r="B30" s="16" t="s">
        <v>41</v>
      </c>
      <c r="C30" s="17">
        <v>35950</v>
      </c>
      <c r="D30" s="18">
        <v>16</v>
      </c>
      <c r="E30" s="16" t="s">
        <v>24</v>
      </c>
      <c r="F30" s="19">
        <v>21554</v>
      </c>
      <c r="G30" s="19">
        <f t="shared" si="0"/>
        <v>258648</v>
      </c>
      <c r="H30" s="20"/>
      <c r="I30" s="21"/>
      <c r="J30" s="11">
        <f t="shared" si="1"/>
        <v>0</v>
      </c>
      <c r="K30" s="12"/>
      <c r="L30" s="13"/>
      <c r="M30" s="13"/>
      <c r="N30" s="13"/>
    </row>
    <row r="31" spans="1:14" ht="18.5" x14ac:dyDescent="0.45">
      <c r="A31" s="16" t="s">
        <v>58</v>
      </c>
      <c r="B31" s="16" t="s">
        <v>41</v>
      </c>
      <c r="C31" s="17">
        <v>39139</v>
      </c>
      <c r="D31" s="18">
        <v>7</v>
      </c>
      <c r="E31" s="16" t="s">
        <v>22</v>
      </c>
      <c r="F31" s="19">
        <v>26048</v>
      </c>
      <c r="G31" s="19">
        <f t="shared" si="0"/>
        <v>312576</v>
      </c>
      <c r="H31" s="20"/>
      <c r="I31" s="21"/>
      <c r="J31" s="11">
        <f t="shared" si="1"/>
        <v>0</v>
      </c>
      <c r="K31" s="12"/>
      <c r="L31" s="13"/>
      <c r="M31" s="13"/>
      <c r="N31" s="13"/>
    </row>
    <row r="32" spans="1:14" ht="18.5" x14ac:dyDescent="0.45">
      <c r="A32" s="16" t="s">
        <v>59</v>
      </c>
      <c r="B32" s="16" t="s">
        <v>41</v>
      </c>
      <c r="C32" s="17">
        <v>33705</v>
      </c>
      <c r="D32" s="18">
        <v>22</v>
      </c>
      <c r="E32" s="16" t="s">
        <v>31</v>
      </c>
      <c r="F32" s="19">
        <v>60284</v>
      </c>
      <c r="G32" s="19">
        <f t="shared" si="0"/>
        <v>723408</v>
      </c>
      <c r="H32" s="20"/>
      <c r="I32" s="21"/>
      <c r="J32" s="11">
        <f t="shared" si="1"/>
        <v>0</v>
      </c>
      <c r="K32" s="12"/>
      <c r="L32" s="13"/>
      <c r="M32" s="13"/>
      <c r="N32" s="13"/>
    </row>
    <row r="33" spans="1:14" ht="18.5" x14ac:dyDescent="0.45">
      <c r="A33" s="16" t="s">
        <v>60</v>
      </c>
      <c r="B33" s="16" t="s">
        <v>41</v>
      </c>
      <c r="C33" s="17">
        <v>35092</v>
      </c>
      <c r="D33" s="18">
        <v>18</v>
      </c>
      <c r="E33" s="16" t="s">
        <v>31</v>
      </c>
      <c r="F33" s="19">
        <v>27008</v>
      </c>
      <c r="G33" s="19">
        <f t="shared" si="0"/>
        <v>324096</v>
      </c>
      <c r="H33" s="20"/>
      <c r="I33" s="21"/>
      <c r="J33" s="11">
        <f t="shared" si="1"/>
        <v>0</v>
      </c>
      <c r="K33" s="12"/>
      <c r="L33" s="13"/>
      <c r="M33" s="13"/>
      <c r="N33" s="13"/>
    </row>
    <row r="34" spans="1:14" ht="18.5" x14ac:dyDescent="0.45">
      <c r="A34" s="16" t="s">
        <v>61</v>
      </c>
      <c r="B34" s="16" t="s">
        <v>62</v>
      </c>
      <c r="C34" s="17">
        <v>38583</v>
      </c>
      <c r="D34" s="18">
        <v>9</v>
      </c>
      <c r="E34" s="16" t="s">
        <v>31</v>
      </c>
      <c r="F34" s="19">
        <v>50094</v>
      </c>
      <c r="G34" s="19">
        <f t="shared" si="0"/>
        <v>601128</v>
      </c>
      <c r="H34" s="20"/>
      <c r="I34" s="21"/>
      <c r="J34" s="11">
        <f t="shared" si="1"/>
        <v>0</v>
      </c>
      <c r="K34" s="12"/>
      <c r="L34" s="13"/>
      <c r="M34" s="13"/>
      <c r="N34" s="13"/>
    </row>
    <row r="35" spans="1:14" ht="18.5" x14ac:dyDescent="0.45">
      <c r="A35" s="16" t="s">
        <v>63</v>
      </c>
      <c r="B35" s="16" t="s">
        <v>62</v>
      </c>
      <c r="C35" s="25">
        <v>39307</v>
      </c>
      <c r="D35" s="18">
        <v>7</v>
      </c>
      <c r="E35" s="16" t="s">
        <v>31</v>
      </c>
      <c r="F35" s="19">
        <v>26012</v>
      </c>
      <c r="G35" s="19">
        <f t="shared" si="0"/>
        <v>312144</v>
      </c>
      <c r="H35" s="20"/>
      <c r="I35" s="21"/>
      <c r="J35" s="11">
        <f t="shared" si="1"/>
        <v>0</v>
      </c>
      <c r="K35" s="12"/>
      <c r="L35" s="13"/>
      <c r="M35" s="13"/>
      <c r="N35" s="13"/>
    </row>
    <row r="36" spans="1:14" ht="18.5" x14ac:dyDescent="0.45">
      <c r="A36" s="16" t="s">
        <v>64</v>
      </c>
      <c r="B36" s="16" t="s">
        <v>62</v>
      </c>
      <c r="C36" s="17">
        <v>36937</v>
      </c>
      <c r="D36" s="18">
        <v>13</v>
      </c>
      <c r="E36" s="16" t="s">
        <v>22</v>
      </c>
      <c r="F36" s="19">
        <v>34457</v>
      </c>
      <c r="G36" s="19">
        <f t="shared" si="0"/>
        <v>413484</v>
      </c>
      <c r="H36" s="20"/>
      <c r="I36" s="21"/>
      <c r="J36" s="11">
        <f t="shared" si="1"/>
        <v>0</v>
      </c>
      <c r="K36" s="12"/>
      <c r="L36" s="13"/>
      <c r="M36" s="13"/>
      <c r="N36" s="13"/>
    </row>
    <row r="37" spans="1:14" ht="18.5" x14ac:dyDescent="0.45">
      <c r="A37" s="16" t="s">
        <v>65</v>
      </c>
      <c r="B37" s="16" t="s">
        <v>66</v>
      </c>
      <c r="C37" s="17">
        <v>32125</v>
      </c>
      <c r="D37" s="18">
        <v>27</v>
      </c>
      <c r="E37" s="16" t="s">
        <v>22</v>
      </c>
      <c r="F37" s="19">
        <v>62390</v>
      </c>
      <c r="G37" s="19">
        <f t="shared" si="0"/>
        <v>748680</v>
      </c>
      <c r="H37" s="20"/>
      <c r="I37" s="21"/>
      <c r="J37" s="11">
        <f t="shared" si="1"/>
        <v>0</v>
      </c>
      <c r="K37" s="12"/>
      <c r="L37" s="13"/>
      <c r="M37" s="13"/>
      <c r="N37" s="13"/>
    </row>
    <row r="38" spans="1:14" ht="18.5" x14ac:dyDescent="0.45">
      <c r="A38" s="16" t="s">
        <v>67</v>
      </c>
      <c r="B38" s="16" t="s">
        <v>66</v>
      </c>
      <c r="C38" s="17">
        <v>38201</v>
      </c>
      <c r="D38" s="18">
        <v>10</v>
      </c>
      <c r="E38" s="16" t="s">
        <v>22</v>
      </c>
      <c r="F38" s="19">
        <v>78455</v>
      </c>
      <c r="G38" s="19">
        <f t="shared" si="0"/>
        <v>941460</v>
      </c>
      <c r="H38" s="20"/>
      <c r="I38" s="21"/>
      <c r="J38" s="11">
        <f t="shared" si="1"/>
        <v>0</v>
      </c>
      <c r="K38" s="12"/>
      <c r="L38" s="13"/>
      <c r="M38" s="13"/>
      <c r="N38" s="13"/>
    </row>
    <row r="39" spans="1:14" ht="18.5" x14ac:dyDescent="0.45">
      <c r="A39" s="16" t="s">
        <v>68</v>
      </c>
      <c r="B39" s="16" t="s">
        <v>66</v>
      </c>
      <c r="C39" s="17">
        <v>35303</v>
      </c>
      <c r="D39" s="18">
        <v>18</v>
      </c>
      <c r="E39" s="16" t="s">
        <v>22</v>
      </c>
      <c r="F39" s="19">
        <v>42829</v>
      </c>
      <c r="G39" s="19">
        <f t="shared" si="0"/>
        <v>513948</v>
      </c>
      <c r="H39" s="20"/>
      <c r="I39" s="21"/>
      <c r="J39" s="11">
        <f t="shared" si="1"/>
        <v>0</v>
      </c>
      <c r="K39" s="12"/>
      <c r="L39" s="13"/>
      <c r="M39" s="13"/>
      <c r="N39" s="13"/>
    </row>
    <row r="40" spans="1:14" ht="18.5" x14ac:dyDescent="0.45">
      <c r="A40" s="16" t="s">
        <v>69</v>
      </c>
      <c r="B40" s="16" t="s">
        <v>70</v>
      </c>
      <c r="C40" s="17">
        <v>36666</v>
      </c>
      <c r="D40" s="18">
        <v>14</v>
      </c>
      <c r="E40" s="16" t="s">
        <v>22</v>
      </c>
      <c r="F40" s="19">
        <v>28565</v>
      </c>
      <c r="G40" s="19">
        <f t="shared" si="0"/>
        <v>342780</v>
      </c>
      <c r="H40" s="20"/>
      <c r="I40" s="21"/>
      <c r="J40" s="11">
        <f t="shared" si="1"/>
        <v>0</v>
      </c>
      <c r="K40" s="12"/>
      <c r="L40" s="13"/>
      <c r="M40" s="13"/>
      <c r="N40" s="13"/>
    </row>
    <row r="41" spans="1:14" ht="18.5" x14ac:dyDescent="0.45">
      <c r="A41" s="16" t="s">
        <v>71</v>
      </c>
      <c r="B41" s="16" t="s">
        <v>70</v>
      </c>
      <c r="C41" s="17">
        <v>32667</v>
      </c>
      <c r="D41" s="18">
        <v>25</v>
      </c>
      <c r="E41" s="16" t="s">
        <v>22</v>
      </c>
      <c r="F41" s="19">
        <v>63746</v>
      </c>
      <c r="G41" s="19">
        <f t="shared" si="0"/>
        <v>764952</v>
      </c>
      <c r="H41" s="20"/>
      <c r="I41" s="21"/>
      <c r="J41" s="11">
        <f t="shared" si="1"/>
        <v>0</v>
      </c>
      <c r="K41" s="12"/>
      <c r="L41" s="13"/>
      <c r="M41" s="13"/>
      <c r="N41" s="13"/>
    </row>
    <row r="42" spans="1:14" ht="18.5" x14ac:dyDescent="0.45">
      <c r="A42" s="16" t="s">
        <v>72</v>
      </c>
      <c r="B42" s="16" t="s">
        <v>70</v>
      </c>
      <c r="C42" s="17">
        <v>35131</v>
      </c>
      <c r="D42" s="18">
        <v>18</v>
      </c>
      <c r="E42" s="16" t="s">
        <v>22</v>
      </c>
      <c r="F42" s="19">
        <v>66619</v>
      </c>
      <c r="G42" s="19">
        <f t="shared" si="0"/>
        <v>799428</v>
      </c>
      <c r="H42" s="20"/>
      <c r="I42" s="21"/>
      <c r="J42" s="11">
        <f t="shared" si="1"/>
        <v>0</v>
      </c>
      <c r="K42" s="12"/>
      <c r="L42" s="13"/>
      <c r="M42" s="13"/>
      <c r="N42" s="13"/>
    </row>
    <row r="43" spans="1:14" ht="18.5" x14ac:dyDescent="0.45">
      <c r="A43" s="16" t="s">
        <v>73</v>
      </c>
      <c r="B43" s="16" t="s">
        <v>70</v>
      </c>
      <c r="C43" s="17">
        <v>32501</v>
      </c>
      <c r="D43" s="18">
        <v>26</v>
      </c>
      <c r="E43" s="16" t="s">
        <v>22</v>
      </c>
      <c r="F43" s="19">
        <v>57250</v>
      </c>
      <c r="G43" s="19">
        <f t="shared" si="0"/>
        <v>687000</v>
      </c>
      <c r="H43" s="20"/>
      <c r="I43" s="21"/>
      <c r="J43" s="11">
        <f t="shared" si="1"/>
        <v>0</v>
      </c>
      <c r="K43" s="12"/>
      <c r="L43" s="13"/>
      <c r="M43" s="13"/>
      <c r="N43" s="13"/>
    </row>
    <row r="44" spans="1:14" ht="18.5" x14ac:dyDescent="0.45">
      <c r="A44" s="16" t="s">
        <v>74</v>
      </c>
      <c r="B44" s="16" t="s">
        <v>70</v>
      </c>
      <c r="C44" s="17">
        <v>36721</v>
      </c>
      <c r="D44" s="18">
        <v>14</v>
      </c>
      <c r="E44" s="16" t="s">
        <v>31</v>
      </c>
      <c r="F44" s="19">
        <v>70454</v>
      </c>
      <c r="G44" s="19">
        <f t="shared" si="0"/>
        <v>845448</v>
      </c>
      <c r="H44" s="20"/>
      <c r="I44" s="21"/>
      <c r="J44" s="11">
        <f t="shared" si="1"/>
        <v>0</v>
      </c>
      <c r="K44" s="12"/>
      <c r="L44" s="13"/>
      <c r="M44" s="13"/>
      <c r="N44" s="13"/>
    </row>
    <row r="45" spans="1:14" ht="18.5" x14ac:dyDescent="0.45">
      <c r="A45" s="16" t="s">
        <v>75</v>
      </c>
      <c r="B45" s="16" t="s">
        <v>70</v>
      </c>
      <c r="C45" s="17">
        <v>35230</v>
      </c>
      <c r="D45" s="18">
        <v>18</v>
      </c>
      <c r="E45" s="16" t="s">
        <v>31</v>
      </c>
      <c r="F45" s="19">
        <v>20966</v>
      </c>
      <c r="G45" s="19">
        <f t="shared" si="0"/>
        <v>251592</v>
      </c>
      <c r="H45" s="20"/>
      <c r="I45" s="21"/>
      <c r="J45" s="11">
        <f t="shared" si="1"/>
        <v>0</v>
      </c>
      <c r="K45" s="12"/>
      <c r="L45" s="13"/>
      <c r="M45" s="13"/>
      <c r="N45" s="13"/>
    </row>
    <row r="46" spans="1:14" ht="18.5" x14ac:dyDescent="0.45">
      <c r="A46" s="16" t="s">
        <v>76</v>
      </c>
      <c r="B46" s="16" t="s">
        <v>77</v>
      </c>
      <c r="C46" s="17">
        <v>37641</v>
      </c>
      <c r="D46" s="18">
        <v>11</v>
      </c>
      <c r="E46" s="16" t="s">
        <v>22</v>
      </c>
      <c r="F46" s="19">
        <v>50622</v>
      </c>
      <c r="G46" s="19">
        <f t="shared" si="0"/>
        <v>607464</v>
      </c>
      <c r="H46" s="20"/>
      <c r="I46" s="21"/>
      <c r="J46" s="11">
        <f t="shared" si="1"/>
        <v>0</v>
      </c>
      <c r="K46" s="12"/>
      <c r="L46" s="13"/>
      <c r="M46" s="13"/>
      <c r="N46" s="13"/>
    </row>
    <row r="47" spans="1:14" ht="18.5" x14ac:dyDescent="0.45">
      <c r="A47" s="16" t="s">
        <v>78</v>
      </c>
      <c r="B47" s="16" t="s">
        <v>77</v>
      </c>
      <c r="C47" s="17">
        <v>34383</v>
      </c>
      <c r="D47" s="18">
        <v>20</v>
      </c>
      <c r="E47" s="16" t="s">
        <v>22</v>
      </c>
      <c r="F47" s="19">
        <v>79722</v>
      </c>
      <c r="G47" s="19">
        <f t="shared" si="0"/>
        <v>956664</v>
      </c>
      <c r="H47" s="20"/>
      <c r="I47" s="21"/>
      <c r="J47" s="11">
        <f t="shared" si="1"/>
        <v>0</v>
      </c>
      <c r="K47" s="12"/>
      <c r="L47" s="13"/>
      <c r="M47" s="13"/>
      <c r="N47" s="13"/>
    </row>
    <row r="48" spans="1:14" ht="18.5" x14ac:dyDescent="0.45">
      <c r="A48" s="16" t="s">
        <v>79</v>
      </c>
      <c r="B48" s="16" t="s">
        <v>80</v>
      </c>
      <c r="C48" s="17">
        <v>34993</v>
      </c>
      <c r="D48" s="18">
        <v>19</v>
      </c>
      <c r="E48" s="16" t="s">
        <v>31</v>
      </c>
      <c r="F48" s="19">
        <v>46863</v>
      </c>
      <c r="G48" s="19">
        <f t="shared" si="0"/>
        <v>562356</v>
      </c>
      <c r="H48" s="20"/>
      <c r="I48" s="21"/>
      <c r="J48" s="11">
        <f t="shared" si="1"/>
        <v>0</v>
      </c>
      <c r="K48" s="12"/>
      <c r="L48" s="13"/>
      <c r="M48" s="13"/>
      <c r="N48" s="13"/>
    </row>
    <row r="49" spans="1:14" ht="18.5" x14ac:dyDescent="0.45">
      <c r="A49" s="16" t="s">
        <v>81</v>
      </c>
      <c r="B49" s="16" t="s">
        <v>80</v>
      </c>
      <c r="C49" s="17">
        <v>35317</v>
      </c>
      <c r="D49" s="18">
        <v>18</v>
      </c>
      <c r="E49" s="16" t="s">
        <v>27</v>
      </c>
      <c r="F49" s="19">
        <v>26250</v>
      </c>
      <c r="G49" s="19">
        <f t="shared" si="0"/>
        <v>315000</v>
      </c>
      <c r="H49" s="20"/>
      <c r="I49" s="21"/>
      <c r="J49" s="11">
        <f t="shared" si="1"/>
        <v>0</v>
      </c>
      <c r="K49" s="12"/>
      <c r="L49" s="13"/>
      <c r="M49" s="13"/>
      <c r="N49" s="13"/>
    </row>
    <row r="50" spans="1:14" ht="18.5" x14ac:dyDescent="0.45">
      <c r="A50" s="16" t="s">
        <v>82</v>
      </c>
      <c r="B50" s="16" t="s">
        <v>80</v>
      </c>
      <c r="C50" s="17">
        <v>36342</v>
      </c>
      <c r="D50" s="18">
        <v>15</v>
      </c>
      <c r="E50" s="16" t="s">
        <v>22</v>
      </c>
      <c r="F50" s="19">
        <v>21508</v>
      </c>
      <c r="G50" s="19">
        <f t="shared" si="0"/>
        <v>258096</v>
      </c>
      <c r="H50" s="20"/>
      <c r="I50" s="21"/>
      <c r="J50" s="11">
        <f t="shared" si="1"/>
        <v>0</v>
      </c>
      <c r="K50" s="12"/>
      <c r="L50" s="13"/>
      <c r="M50" s="13"/>
      <c r="N50" s="13"/>
    </row>
    <row r="51" spans="1:14" ht="18.5" x14ac:dyDescent="0.45">
      <c r="A51" s="16" t="s">
        <v>83</v>
      </c>
      <c r="B51" s="16" t="s">
        <v>80</v>
      </c>
      <c r="C51" s="17">
        <v>38947</v>
      </c>
      <c r="D51" s="18">
        <v>8</v>
      </c>
      <c r="E51" s="16" t="s">
        <v>27</v>
      </c>
      <c r="F51" s="19">
        <v>20459</v>
      </c>
      <c r="G51" s="19">
        <f t="shared" si="0"/>
        <v>245508</v>
      </c>
      <c r="H51" s="20"/>
      <c r="I51" s="21"/>
      <c r="J51" s="11">
        <f t="shared" si="1"/>
        <v>0</v>
      </c>
      <c r="K51" s="12"/>
      <c r="L51" s="13"/>
      <c r="M51" s="13"/>
      <c r="N51" s="13"/>
    </row>
    <row r="52" spans="1:14" ht="18.5" x14ac:dyDescent="0.45">
      <c r="A52" s="16" t="s">
        <v>84</v>
      </c>
      <c r="B52" s="16" t="s">
        <v>80</v>
      </c>
      <c r="C52" s="17">
        <v>32478</v>
      </c>
      <c r="D52" s="18">
        <v>26</v>
      </c>
      <c r="E52" s="16" t="s">
        <v>31</v>
      </c>
      <c r="F52" s="19">
        <v>66577</v>
      </c>
      <c r="G52" s="19">
        <f t="shared" si="0"/>
        <v>798924</v>
      </c>
      <c r="H52" s="20"/>
      <c r="I52" s="21"/>
      <c r="J52" s="11">
        <f t="shared" si="1"/>
        <v>0</v>
      </c>
      <c r="K52" s="12"/>
      <c r="L52" s="13"/>
      <c r="M52" s="13"/>
      <c r="N52" s="13"/>
    </row>
    <row r="53" spans="1:14" ht="18.5" x14ac:dyDescent="0.45">
      <c r="A53" s="16" t="s">
        <v>85</v>
      </c>
      <c r="B53" s="16" t="s">
        <v>80</v>
      </c>
      <c r="C53" s="17">
        <v>33809</v>
      </c>
      <c r="D53" s="18">
        <v>22</v>
      </c>
      <c r="E53" s="16" t="s">
        <v>24</v>
      </c>
      <c r="F53" s="19">
        <v>70971</v>
      </c>
      <c r="G53" s="19">
        <f t="shared" si="0"/>
        <v>851652</v>
      </c>
      <c r="H53" s="20"/>
      <c r="I53" s="21"/>
      <c r="J53" s="11">
        <f t="shared" si="1"/>
        <v>0</v>
      </c>
      <c r="K53" s="12"/>
      <c r="L53" s="13"/>
      <c r="M53" s="13"/>
      <c r="N53" s="13"/>
    </row>
    <row r="54" spans="1:14" ht="18.5" x14ac:dyDescent="0.45">
      <c r="A54" s="16" t="s">
        <v>86</v>
      </c>
      <c r="B54" s="16" t="s">
        <v>80</v>
      </c>
      <c r="C54" s="17">
        <v>33215</v>
      </c>
      <c r="D54" s="18">
        <v>24</v>
      </c>
      <c r="E54" s="16" t="s">
        <v>31</v>
      </c>
      <c r="F54" s="19">
        <v>30599</v>
      </c>
      <c r="G54" s="19">
        <f t="shared" si="0"/>
        <v>367188</v>
      </c>
      <c r="H54" s="20"/>
      <c r="I54" s="21"/>
      <c r="J54" s="11">
        <f t="shared" si="1"/>
        <v>0</v>
      </c>
      <c r="K54" s="12"/>
      <c r="L54" s="13"/>
      <c r="M54" s="13"/>
      <c r="N54" s="13"/>
    </row>
    <row r="55" spans="1:14" ht="18.5" x14ac:dyDescent="0.45">
      <c r="A55" s="16" t="s">
        <v>87</v>
      </c>
      <c r="B55" s="16" t="s">
        <v>80</v>
      </c>
      <c r="C55" s="17">
        <v>35697</v>
      </c>
      <c r="D55" s="18">
        <v>17</v>
      </c>
      <c r="E55" s="16" t="s">
        <v>22</v>
      </c>
      <c r="F55" s="19">
        <v>65723</v>
      </c>
      <c r="G55" s="19">
        <f t="shared" si="0"/>
        <v>788676</v>
      </c>
      <c r="H55" s="20"/>
      <c r="I55" s="21"/>
      <c r="J55" s="11">
        <f t="shared" si="1"/>
        <v>0</v>
      </c>
      <c r="K55" s="12"/>
      <c r="L55" s="13"/>
      <c r="M55" s="13"/>
      <c r="N55" s="13"/>
    </row>
    <row r="56" spans="1:14" ht="18.5" x14ac:dyDescent="0.45">
      <c r="A56" s="16" t="s">
        <v>88</v>
      </c>
      <c r="B56" s="16" t="s">
        <v>80</v>
      </c>
      <c r="C56" s="17">
        <v>34555</v>
      </c>
      <c r="D56" s="18">
        <v>20</v>
      </c>
      <c r="E56" s="16" t="s">
        <v>22</v>
      </c>
      <c r="F56" s="19">
        <v>58700</v>
      </c>
      <c r="G56" s="19">
        <f t="shared" si="0"/>
        <v>704400</v>
      </c>
      <c r="H56" s="20"/>
      <c r="I56" s="21"/>
      <c r="J56" s="11">
        <f t="shared" si="1"/>
        <v>0</v>
      </c>
      <c r="K56" s="12"/>
      <c r="L56" s="13"/>
      <c r="M56" s="13"/>
      <c r="N56" s="13"/>
    </row>
    <row r="57" spans="1:14" ht="18.5" x14ac:dyDescent="0.45">
      <c r="A57" s="16" t="s">
        <v>89</v>
      </c>
      <c r="B57" s="16" t="s">
        <v>80</v>
      </c>
      <c r="C57" s="17">
        <v>34240</v>
      </c>
      <c r="D57" s="18">
        <v>21</v>
      </c>
      <c r="E57" s="16" t="s">
        <v>24</v>
      </c>
      <c r="F57" s="19">
        <v>60918</v>
      </c>
      <c r="G57" s="19">
        <f t="shared" si="0"/>
        <v>731016</v>
      </c>
      <c r="H57" s="20"/>
      <c r="I57" s="21"/>
      <c r="J57" s="11">
        <f t="shared" si="1"/>
        <v>0</v>
      </c>
      <c r="K57" s="12"/>
      <c r="L57" s="13"/>
      <c r="M57" s="13"/>
      <c r="N57" s="13"/>
    </row>
    <row r="58" spans="1:14" ht="18.5" x14ac:dyDescent="0.45">
      <c r="A58" s="16" t="s">
        <v>90</v>
      </c>
      <c r="B58" s="16" t="s">
        <v>80</v>
      </c>
      <c r="C58" s="17">
        <v>37807</v>
      </c>
      <c r="D58" s="18">
        <v>11</v>
      </c>
      <c r="E58" s="16" t="s">
        <v>22</v>
      </c>
      <c r="F58" s="19">
        <v>46086</v>
      </c>
      <c r="G58" s="19">
        <f t="shared" si="0"/>
        <v>553032</v>
      </c>
      <c r="H58" s="20"/>
      <c r="I58" s="21"/>
      <c r="J58" s="11">
        <f t="shared" si="1"/>
        <v>0</v>
      </c>
      <c r="K58" s="12"/>
      <c r="L58" s="13"/>
      <c r="M58" s="13"/>
      <c r="N58" s="13"/>
    </row>
    <row r="59" spans="1:14" ht="18.5" x14ac:dyDescent="0.45">
      <c r="A59" s="16" t="s">
        <v>91</v>
      </c>
      <c r="B59" s="16" t="s">
        <v>80</v>
      </c>
      <c r="C59" s="17">
        <v>39108</v>
      </c>
      <c r="D59" s="18">
        <v>7</v>
      </c>
      <c r="E59" s="16" t="s">
        <v>31</v>
      </c>
      <c r="F59" s="19">
        <v>76234</v>
      </c>
      <c r="G59" s="19">
        <f t="shared" si="0"/>
        <v>914808</v>
      </c>
      <c r="H59" s="20"/>
      <c r="I59" s="21"/>
      <c r="J59" s="11">
        <f t="shared" si="1"/>
        <v>0</v>
      </c>
      <c r="K59" s="12"/>
      <c r="L59" s="13"/>
      <c r="M59" s="13"/>
      <c r="N59" s="13"/>
    </row>
    <row r="60" spans="1:14" ht="18.5" x14ac:dyDescent="0.45">
      <c r="A60" s="16" t="s">
        <v>92</v>
      </c>
      <c r="B60" s="16" t="s">
        <v>80</v>
      </c>
      <c r="C60" s="17">
        <v>34124</v>
      </c>
      <c r="D60" s="18">
        <v>21</v>
      </c>
      <c r="E60" s="16" t="s">
        <v>24</v>
      </c>
      <c r="F60" s="19">
        <v>31253</v>
      </c>
      <c r="G60" s="19">
        <f t="shared" si="0"/>
        <v>375036</v>
      </c>
      <c r="H60" s="20"/>
      <c r="I60" s="21"/>
      <c r="J60" s="11">
        <f t="shared" si="1"/>
        <v>0</v>
      </c>
      <c r="K60" s="12"/>
      <c r="L60" s="13"/>
      <c r="M60" s="13"/>
      <c r="N60" s="13"/>
    </row>
    <row r="61" spans="1:14" ht="18.5" x14ac:dyDescent="0.45">
      <c r="A61" s="16" t="s">
        <v>93</v>
      </c>
      <c r="B61" s="16" t="s">
        <v>94</v>
      </c>
      <c r="C61" s="17">
        <v>39317</v>
      </c>
      <c r="D61" s="18">
        <v>7</v>
      </c>
      <c r="E61" s="16" t="s">
        <v>31</v>
      </c>
      <c r="F61" s="19">
        <v>50256</v>
      </c>
      <c r="G61" s="19">
        <f t="shared" si="0"/>
        <v>603072</v>
      </c>
      <c r="H61" s="20"/>
      <c r="I61" s="21"/>
      <c r="J61" s="11">
        <f t="shared" si="1"/>
        <v>0</v>
      </c>
      <c r="K61" s="12"/>
      <c r="L61" s="13"/>
      <c r="M61" s="13"/>
      <c r="N61" s="13"/>
    </row>
    <row r="62" spans="1:14" ht="18.5" x14ac:dyDescent="0.45">
      <c r="A62" s="16" t="s">
        <v>95</v>
      </c>
      <c r="B62" s="16" t="s">
        <v>94</v>
      </c>
      <c r="C62" s="17">
        <v>37000</v>
      </c>
      <c r="D62" s="18">
        <v>13</v>
      </c>
      <c r="E62" s="16" t="s">
        <v>27</v>
      </c>
      <c r="F62" s="19">
        <v>74858</v>
      </c>
      <c r="G62" s="19">
        <f t="shared" si="0"/>
        <v>898296</v>
      </c>
      <c r="H62" s="20"/>
      <c r="I62" s="21"/>
      <c r="J62" s="11">
        <f t="shared" si="1"/>
        <v>0</v>
      </c>
      <c r="K62" s="12"/>
      <c r="L62" s="13"/>
      <c r="M62" s="13"/>
      <c r="N62" s="13"/>
    </row>
    <row r="63" spans="1:14" ht="18.5" x14ac:dyDescent="0.45">
      <c r="A63" s="16" t="s">
        <v>96</v>
      </c>
      <c r="B63" s="16" t="s">
        <v>94</v>
      </c>
      <c r="C63" s="17">
        <v>32439</v>
      </c>
      <c r="D63" s="18">
        <v>26</v>
      </c>
      <c r="E63" s="16" t="s">
        <v>22</v>
      </c>
      <c r="F63" s="19">
        <v>27498</v>
      </c>
      <c r="G63" s="19">
        <f t="shared" si="0"/>
        <v>329976</v>
      </c>
      <c r="H63" s="20"/>
      <c r="I63" s="21"/>
      <c r="J63" s="11">
        <f t="shared" si="1"/>
        <v>0</v>
      </c>
      <c r="K63" s="12"/>
      <c r="L63" s="13"/>
      <c r="M63" s="13"/>
      <c r="N63" s="13"/>
    </row>
    <row r="64" spans="1:14" ht="18.5" x14ac:dyDescent="0.45">
      <c r="A64" s="16" t="s">
        <v>97</v>
      </c>
      <c r="B64" s="16" t="s">
        <v>98</v>
      </c>
      <c r="C64" s="17">
        <v>37200</v>
      </c>
      <c r="D64" s="18">
        <v>13</v>
      </c>
      <c r="E64" s="16" t="s">
        <v>22</v>
      </c>
      <c r="F64" s="19">
        <v>48054</v>
      </c>
      <c r="G64" s="19">
        <f t="shared" si="0"/>
        <v>576648</v>
      </c>
      <c r="H64" s="20"/>
      <c r="I64" s="21"/>
      <c r="J64" s="11">
        <f t="shared" si="1"/>
        <v>0</v>
      </c>
      <c r="K64" s="12"/>
      <c r="L64" s="13"/>
      <c r="M64" s="13"/>
      <c r="N64" s="13"/>
    </row>
    <row r="65" spans="1:14" ht="18.5" x14ac:dyDescent="0.45">
      <c r="A65" s="16" t="s">
        <v>99</v>
      </c>
      <c r="B65" s="16" t="s">
        <v>98</v>
      </c>
      <c r="C65" s="17">
        <v>37863</v>
      </c>
      <c r="D65" s="18">
        <v>11</v>
      </c>
      <c r="E65" s="16" t="s">
        <v>22</v>
      </c>
      <c r="F65" s="19">
        <v>29269</v>
      </c>
      <c r="G65" s="19">
        <f t="shared" si="0"/>
        <v>351228</v>
      </c>
      <c r="H65" s="20"/>
      <c r="I65" s="21"/>
      <c r="J65" s="11">
        <f t="shared" si="1"/>
        <v>0</v>
      </c>
      <c r="K65" s="12"/>
      <c r="L65" s="13"/>
      <c r="M65" s="13"/>
      <c r="N65" s="13"/>
    </row>
    <row r="66" spans="1:14" ht="18.5" x14ac:dyDescent="0.45">
      <c r="A66" s="16" t="s">
        <v>100</v>
      </c>
      <c r="B66" s="16" t="s">
        <v>98</v>
      </c>
      <c r="C66" s="17">
        <v>35485</v>
      </c>
      <c r="D66" s="18">
        <v>17</v>
      </c>
      <c r="E66" s="16" t="s">
        <v>22</v>
      </c>
      <c r="F66" s="19">
        <v>70008</v>
      </c>
      <c r="G66" s="19">
        <f t="shared" si="0"/>
        <v>840096</v>
      </c>
      <c r="H66" s="20"/>
      <c r="I66" s="21"/>
      <c r="J66" s="11">
        <f t="shared" si="1"/>
        <v>0</v>
      </c>
      <c r="K66" s="12"/>
      <c r="L66" s="13"/>
      <c r="M66" s="13"/>
      <c r="N66" s="13"/>
    </row>
    <row r="67" spans="1:14" ht="18.5" x14ac:dyDescent="0.45">
      <c r="A67" s="16" t="s">
        <v>101</v>
      </c>
      <c r="B67" s="16" t="s">
        <v>98</v>
      </c>
      <c r="C67" s="17">
        <v>34981</v>
      </c>
      <c r="D67" s="18">
        <v>19</v>
      </c>
      <c r="E67" s="16" t="s">
        <v>31</v>
      </c>
      <c r="F67" s="19">
        <v>62539</v>
      </c>
      <c r="G67" s="19">
        <f t="shared" ref="G67:G130" si="2">+F67*12</f>
        <v>750468</v>
      </c>
      <c r="H67" s="20"/>
      <c r="I67" s="21"/>
      <c r="J67" s="11">
        <f t="shared" ref="J67:J130" si="3">I67*12</f>
        <v>0</v>
      </c>
      <c r="K67" s="12"/>
      <c r="L67" s="13"/>
      <c r="M67" s="13"/>
      <c r="N67" s="13"/>
    </row>
    <row r="68" spans="1:14" ht="18.5" x14ac:dyDescent="0.45">
      <c r="A68" s="16" t="s">
        <v>102</v>
      </c>
      <c r="B68" s="16" t="s">
        <v>98</v>
      </c>
      <c r="C68" s="17">
        <v>35252</v>
      </c>
      <c r="D68" s="18">
        <v>18</v>
      </c>
      <c r="E68" s="16" t="s">
        <v>22</v>
      </c>
      <c r="F68" s="19">
        <v>69212</v>
      </c>
      <c r="G68" s="19">
        <f t="shared" si="2"/>
        <v>830544</v>
      </c>
      <c r="H68" s="20"/>
      <c r="I68" s="21"/>
      <c r="J68" s="11">
        <f t="shared" si="3"/>
        <v>0</v>
      </c>
      <c r="K68" s="12"/>
      <c r="L68" s="13"/>
      <c r="M68" s="13"/>
      <c r="N68" s="13"/>
    </row>
    <row r="69" spans="1:14" ht="18.5" x14ac:dyDescent="0.45">
      <c r="A69" s="16" t="s">
        <v>103</v>
      </c>
      <c r="B69" s="16" t="s">
        <v>98</v>
      </c>
      <c r="C69" s="17">
        <v>34397</v>
      </c>
      <c r="D69" s="18">
        <v>20</v>
      </c>
      <c r="E69" s="16" t="s">
        <v>24</v>
      </c>
      <c r="F69" s="19">
        <v>30533</v>
      </c>
      <c r="G69" s="19">
        <f t="shared" si="2"/>
        <v>366396</v>
      </c>
      <c r="H69" s="20"/>
      <c r="I69" s="21"/>
      <c r="J69" s="11">
        <f t="shared" si="3"/>
        <v>0</v>
      </c>
      <c r="K69" s="12"/>
      <c r="L69" s="13"/>
      <c r="M69" s="13"/>
      <c r="N69" s="13"/>
    </row>
    <row r="70" spans="1:14" ht="18.5" x14ac:dyDescent="0.45">
      <c r="A70" s="16" t="s">
        <v>104</v>
      </c>
      <c r="B70" s="16" t="s">
        <v>98</v>
      </c>
      <c r="C70" s="17">
        <v>36490</v>
      </c>
      <c r="D70" s="18">
        <v>15</v>
      </c>
      <c r="E70" s="16" t="s">
        <v>22</v>
      </c>
      <c r="F70" s="19">
        <v>34248</v>
      </c>
      <c r="G70" s="19">
        <f t="shared" si="2"/>
        <v>410976</v>
      </c>
      <c r="H70" s="20"/>
      <c r="I70" s="21"/>
      <c r="J70" s="11">
        <f t="shared" si="3"/>
        <v>0</v>
      </c>
      <c r="K70" s="12"/>
      <c r="L70" s="13"/>
      <c r="M70" s="13"/>
      <c r="N70" s="13"/>
    </row>
    <row r="71" spans="1:14" ht="18.5" x14ac:dyDescent="0.45">
      <c r="A71" s="16" t="s">
        <v>105</v>
      </c>
      <c r="B71" s="16" t="s">
        <v>98</v>
      </c>
      <c r="C71" s="17">
        <v>35783</v>
      </c>
      <c r="D71" s="18">
        <v>17</v>
      </c>
      <c r="E71" s="16" t="s">
        <v>31</v>
      </c>
      <c r="F71" s="19">
        <v>48533</v>
      </c>
      <c r="G71" s="19">
        <f t="shared" si="2"/>
        <v>582396</v>
      </c>
      <c r="H71" s="20"/>
      <c r="I71" s="21"/>
      <c r="J71" s="11">
        <f t="shared" si="3"/>
        <v>0</v>
      </c>
      <c r="K71" s="12"/>
      <c r="L71" s="13"/>
      <c r="M71" s="13"/>
      <c r="N71" s="13"/>
    </row>
    <row r="72" spans="1:14" ht="18.5" x14ac:dyDescent="0.45">
      <c r="A72" s="16" t="s">
        <v>106</v>
      </c>
      <c r="B72" s="16" t="s">
        <v>98</v>
      </c>
      <c r="C72" s="17">
        <v>33319</v>
      </c>
      <c r="D72" s="18">
        <v>23</v>
      </c>
      <c r="E72" s="16" t="s">
        <v>31</v>
      </c>
      <c r="F72" s="19">
        <v>20440</v>
      </c>
      <c r="G72" s="19">
        <f t="shared" si="2"/>
        <v>245280</v>
      </c>
      <c r="H72" s="20"/>
      <c r="I72" s="21"/>
      <c r="J72" s="11">
        <f t="shared" si="3"/>
        <v>0</v>
      </c>
      <c r="K72" s="12"/>
      <c r="L72" s="13"/>
      <c r="M72" s="13"/>
      <c r="N72" s="13"/>
    </row>
    <row r="73" spans="1:14" ht="18.5" x14ac:dyDescent="0.45">
      <c r="A73" s="16" t="s">
        <v>107</v>
      </c>
      <c r="B73" s="16" t="s">
        <v>98</v>
      </c>
      <c r="C73" s="17">
        <v>38876</v>
      </c>
      <c r="D73" s="18">
        <v>8</v>
      </c>
      <c r="E73" s="16" t="s">
        <v>31</v>
      </c>
      <c r="F73" s="19">
        <v>32057</v>
      </c>
      <c r="G73" s="19">
        <f t="shared" si="2"/>
        <v>384684</v>
      </c>
      <c r="H73" s="20"/>
      <c r="I73" s="21"/>
      <c r="J73" s="11">
        <f t="shared" si="3"/>
        <v>0</v>
      </c>
      <c r="K73" s="12"/>
      <c r="L73" s="13"/>
      <c r="M73" s="13"/>
      <c r="N73" s="13"/>
    </row>
    <row r="74" spans="1:14" ht="18.5" x14ac:dyDescent="0.45">
      <c r="A74" s="16" t="s">
        <v>108</v>
      </c>
      <c r="B74" s="16" t="s">
        <v>98</v>
      </c>
      <c r="C74" s="17">
        <v>37431</v>
      </c>
      <c r="D74" s="18">
        <v>12</v>
      </c>
      <c r="E74" s="16" t="s">
        <v>22</v>
      </c>
      <c r="F74" s="19">
        <v>31214</v>
      </c>
      <c r="G74" s="19">
        <f t="shared" si="2"/>
        <v>374568</v>
      </c>
      <c r="H74" s="20"/>
      <c r="I74" s="21"/>
      <c r="J74" s="11">
        <f t="shared" si="3"/>
        <v>0</v>
      </c>
      <c r="K74" s="12"/>
      <c r="L74" s="13"/>
      <c r="M74" s="13"/>
      <c r="N74" s="13"/>
    </row>
    <row r="75" spans="1:14" ht="18.5" x14ac:dyDescent="0.45">
      <c r="A75" s="16" t="s">
        <v>109</v>
      </c>
      <c r="B75" s="16" t="s">
        <v>98</v>
      </c>
      <c r="C75" s="17">
        <v>37561</v>
      </c>
      <c r="D75" s="18">
        <v>12</v>
      </c>
      <c r="E75" s="16" t="s">
        <v>31</v>
      </c>
      <c r="F75" s="19">
        <v>24235</v>
      </c>
      <c r="G75" s="19">
        <f t="shared" si="2"/>
        <v>290820</v>
      </c>
      <c r="H75" s="20"/>
      <c r="I75" s="21"/>
      <c r="J75" s="11">
        <f t="shared" si="3"/>
        <v>0</v>
      </c>
      <c r="K75" s="12"/>
      <c r="L75" s="13"/>
      <c r="M75" s="13"/>
      <c r="N75" s="13"/>
    </row>
    <row r="76" spans="1:14" ht="18.5" x14ac:dyDescent="0.45">
      <c r="A76" s="16" t="s">
        <v>110</v>
      </c>
      <c r="B76" s="16" t="s">
        <v>98</v>
      </c>
      <c r="C76" s="17">
        <v>38884</v>
      </c>
      <c r="D76" s="18">
        <v>8</v>
      </c>
      <c r="E76" s="16" t="s">
        <v>31</v>
      </c>
      <c r="F76" s="19">
        <v>24382</v>
      </c>
      <c r="G76" s="19">
        <f t="shared" si="2"/>
        <v>292584</v>
      </c>
      <c r="H76" s="20"/>
      <c r="I76" s="21"/>
      <c r="J76" s="11">
        <f t="shared" si="3"/>
        <v>0</v>
      </c>
      <c r="K76" s="12"/>
      <c r="L76" s="13"/>
      <c r="M76" s="13"/>
      <c r="N76" s="13"/>
    </row>
    <row r="77" spans="1:14" ht="18.5" x14ac:dyDescent="0.45">
      <c r="A77" s="16" t="s">
        <v>111</v>
      </c>
      <c r="B77" s="16" t="s">
        <v>98</v>
      </c>
      <c r="C77" s="17">
        <v>35654</v>
      </c>
      <c r="D77" s="18">
        <v>17</v>
      </c>
      <c r="E77" s="16" t="s">
        <v>31</v>
      </c>
      <c r="F77" s="19">
        <v>20699</v>
      </c>
      <c r="G77" s="19">
        <f t="shared" si="2"/>
        <v>248388</v>
      </c>
      <c r="H77" s="20"/>
      <c r="I77" s="21"/>
      <c r="J77" s="11">
        <f t="shared" si="3"/>
        <v>0</v>
      </c>
      <c r="K77" s="12"/>
      <c r="L77" s="13"/>
      <c r="M77" s="13"/>
      <c r="N77" s="13"/>
    </row>
    <row r="78" spans="1:14" ht="18.5" x14ac:dyDescent="0.45">
      <c r="A78" s="16" t="s">
        <v>112</v>
      </c>
      <c r="B78" s="16" t="s">
        <v>98</v>
      </c>
      <c r="C78" s="17">
        <v>34078</v>
      </c>
      <c r="D78" s="18">
        <v>21</v>
      </c>
      <c r="E78" s="16" t="s">
        <v>22</v>
      </c>
      <c r="F78" s="19">
        <v>75765</v>
      </c>
      <c r="G78" s="19">
        <f t="shared" si="2"/>
        <v>909180</v>
      </c>
      <c r="H78" s="20"/>
      <c r="I78" s="21"/>
      <c r="J78" s="11">
        <f t="shared" si="3"/>
        <v>0</v>
      </c>
      <c r="K78" s="12"/>
      <c r="L78" s="13"/>
      <c r="M78" s="13"/>
      <c r="N78" s="13"/>
    </row>
    <row r="79" spans="1:14" ht="18.5" x14ac:dyDescent="0.45">
      <c r="A79" s="16" t="s">
        <v>113</v>
      </c>
      <c r="B79" s="16" t="s">
        <v>98</v>
      </c>
      <c r="C79" s="17">
        <v>39628</v>
      </c>
      <c r="D79" s="18">
        <v>6</v>
      </c>
      <c r="E79" s="16" t="s">
        <v>27</v>
      </c>
      <c r="F79" s="19">
        <v>54138</v>
      </c>
      <c r="G79" s="19">
        <f t="shared" si="2"/>
        <v>649656</v>
      </c>
      <c r="H79" s="20"/>
      <c r="I79" s="21"/>
      <c r="J79" s="11">
        <f t="shared" si="3"/>
        <v>0</v>
      </c>
      <c r="K79" s="12"/>
      <c r="L79" s="13"/>
      <c r="M79" s="13"/>
      <c r="N79" s="13"/>
    </row>
    <row r="80" spans="1:14" ht="18.5" x14ac:dyDescent="0.45">
      <c r="A80" s="16" t="s">
        <v>114</v>
      </c>
      <c r="B80" s="16" t="s">
        <v>98</v>
      </c>
      <c r="C80" s="17">
        <v>33725</v>
      </c>
      <c r="D80" s="18">
        <v>22</v>
      </c>
      <c r="E80" s="16" t="s">
        <v>31</v>
      </c>
      <c r="F80" s="19">
        <v>41644</v>
      </c>
      <c r="G80" s="19">
        <f t="shared" si="2"/>
        <v>499728</v>
      </c>
      <c r="H80" s="20"/>
      <c r="I80" s="21"/>
      <c r="J80" s="11">
        <f t="shared" si="3"/>
        <v>0</v>
      </c>
      <c r="K80" s="12"/>
      <c r="L80" s="13"/>
      <c r="M80" s="13"/>
      <c r="N80" s="13"/>
    </row>
    <row r="81" spans="1:14" ht="18.5" x14ac:dyDescent="0.45">
      <c r="A81" s="16" t="s">
        <v>115</v>
      </c>
      <c r="B81" s="16" t="s">
        <v>98</v>
      </c>
      <c r="C81" s="17">
        <v>37431</v>
      </c>
      <c r="D81" s="18">
        <v>12</v>
      </c>
      <c r="E81" s="16" t="s">
        <v>22</v>
      </c>
      <c r="F81" s="19">
        <v>33758</v>
      </c>
      <c r="G81" s="19">
        <f t="shared" si="2"/>
        <v>405096</v>
      </c>
      <c r="H81" s="20"/>
      <c r="I81" s="21"/>
      <c r="J81" s="11">
        <f t="shared" si="3"/>
        <v>0</v>
      </c>
      <c r="K81" s="12"/>
      <c r="L81" s="13"/>
      <c r="M81" s="13"/>
      <c r="N81" s="13"/>
    </row>
    <row r="82" spans="1:14" ht="18.5" x14ac:dyDescent="0.45">
      <c r="A82" s="16" t="s">
        <v>116</v>
      </c>
      <c r="B82" s="16" t="s">
        <v>98</v>
      </c>
      <c r="C82" s="17">
        <v>34645</v>
      </c>
      <c r="D82" s="18">
        <v>20</v>
      </c>
      <c r="E82" s="16" t="s">
        <v>22</v>
      </c>
      <c r="F82" s="19">
        <v>51655</v>
      </c>
      <c r="G82" s="19">
        <f t="shared" si="2"/>
        <v>619860</v>
      </c>
      <c r="H82" s="20"/>
      <c r="I82" s="21"/>
      <c r="J82" s="11">
        <f t="shared" si="3"/>
        <v>0</v>
      </c>
      <c r="K82" s="12"/>
      <c r="L82" s="13"/>
      <c r="M82" s="13"/>
      <c r="N82" s="13"/>
    </row>
    <row r="83" spans="1:14" ht="18.5" x14ac:dyDescent="0.45">
      <c r="A83" s="16" t="s">
        <v>117</v>
      </c>
      <c r="B83" s="16" t="s">
        <v>98</v>
      </c>
      <c r="C83" s="17">
        <v>35372</v>
      </c>
      <c r="D83" s="18">
        <v>18</v>
      </c>
      <c r="E83" s="16" t="s">
        <v>22</v>
      </c>
      <c r="F83" s="19">
        <v>66065</v>
      </c>
      <c r="G83" s="19">
        <f t="shared" si="2"/>
        <v>792780</v>
      </c>
      <c r="H83" s="20"/>
      <c r="I83" s="21"/>
      <c r="J83" s="11">
        <f t="shared" si="3"/>
        <v>0</v>
      </c>
      <c r="K83" s="12"/>
      <c r="L83" s="13"/>
      <c r="M83" s="13"/>
      <c r="N83" s="13"/>
    </row>
    <row r="84" spans="1:14" ht="18.5" x14ac:dyDescent="0.45">
      <c r="A84" s="16" t="s">
        <v>118</v>
      </c>
      <c r="B84" s="16" t="s">
        <v>98</v>
      </c>
      <c r="C84" s="17">
        <v>38243</v>
      </c>
      <c r="D84" s="18">
        <v>10</v>
      </c>
      <c r="E84" s="16" t="s">
        <v>31</v>
      </c>
      <c r="F84" s="19">
        <v>21680</v>
      </c>
      <c r="G84" s="19">
        <f t="shared" si="2"/>
        <v>260160</v>
      </c>
      <c r="H84" s="20"/>
      <c r="I84" s="21"/>
      <c r="J84" s="11">
        <f t="shared" si="3"/>
        <v>0</v>
      </c>
      <c r="K84" s="12"/>
      <c r="L84" s="13"/>
      <c r="M84" s="13"/>
      <c r="N84" s="13"/>
    </row>
    <row r="85" spans="1:14" ht="18.5" x14ac:dyDescent="0.45">
      <c r="A85" s="16" t="s">
        <v>119</v>
      </c>
      <c r="B85" s="16" t="s">
        <v>98</v>
      </c>
      <c r="C85" s="17">
        <v>34643</v>
      </c>
      <c r="D85" s="18">
        <v>20</v>
      </c>
      <c r="E85" s="16" t="s">
        <v>22</v>
      </c>
      <c r="F85" s="19">
        <v>77193</v>
      </c>
      <c r="G85" s="19">
        <f t="shared" si="2"/>
        <v>926316</v>
      </c>
      <c r="H85" s="20"/>
      <c r="I85" s="21"/>
      <c r="J85" s="11">
        <f t="shared" si="3"/>
        <v>0</v>
      </c>
      <c r="K85" s="12"/>
      <c r="L85" s="13"/>
      <c r="M85" s="13"/>
      <c r="N85" s="13"/>
    </row>
    <row r="86" spans="1:14" ht="18.5" x14ac:dyDescent="0.45">
      <c r="A86" s="16" t="s">
        <v>120</v>
      </c>
      <c r="B86" s="16" t="s">
        <v>98</v>
      </c>
      <c r="C86" s="17">
        <v>33047</v>
      </c>
      <c r="D86" s="18">
        <v>24</v>
      </c>
      <c r="E86" s="16" t="s">
        <v>22</v>
      </c>
      <c r="F86" s="19">
        <v>34020</v>
      </c>
      <c r="G86" s="19">
        <f t="shared" si="2"/>
        <v>408240</v>
      </c>
      <c r="H86" s="20"/>
      <c r="I86" s="21"/>
      <c r="J86" s="11">
        <f t="shared" si="3"/>
        <v>0</v>
      </c>
      <c r="K86" s="12"/>
      <c r="L86" s="13"/>
      <c r="M86" s="13"/>
      <c r="N86" s="13"/>
    </row>
    <row r="87" spans="1:14" ht="18.5" x14ac:dyDescent="0.45">
      <c r="A87" s="16" t="s">
        <v>121</v>
      </c>
      <c r="B87" s="16" t="s">
        <v>98</v>
      </c>
      <c r="C87" s="17">
        <v>33033</v>
      </c>
      <c r="D87" s="18">
        <v>24</v>
      </c>
      <c r="E87" s="16" t="s">
        <v>31</v>
      </c>
      <c r="F87" s="19">
        <v>59845</v>
      </c>
      <c r="G87" s="19">
        <f t="shared" si="2"/>
        <v>718140</v>
      </c>
      <c r="H87" s="20"/>
      <c r="I87" s="21"/>
      <c r="J87" s="11">
        <f t="shared" si="3"/>
        <v>0</v>
      </c>
      <c r="K87" s="12"/>
      <c r="L87" s="13">
        <v>4</v>
      </c>
      <c r="M87" s="13"/>
      <c r="N87" s="13"/>
    </row>
    <row r="88" spans="1:14" ht="18.5" x14ac:dyDescent="0.45">
      <c r="A88" s="16" t="s">
        <v>122</v>
      </c>
      <c r="B88" s="16" t="s">
        <v>98</v>
      </c>
      <c r="C88" s="17">
        <v>35026</v>
      </c>
      <c r="D88" s="18">
        <v>19</v>
      </c>
      <c r="E88" s="16" t="s">
        <v>31</v>
      </c>
      <c r="F88" s="19">
        <v>51656</v>
      </c>
      <c r="G88" s="19">
        <f t="shared" si="2"/>
        <v>619872</v>
      </c>
      <c r="H88" s="20"/>
      <c r="I88" s="21"/>
      <c r="J88" s="11">
        <f t="shared" si="3"/>
        <v>0</v>
      </c>
      <c r="K88" s="12"/>
      <c r="L88" s="13"/>
      <c r="M88" s="13"/>
      <c r="N88" s="13"/>
    </row>
    <row r="89" spans="1:14" ht="18.5" x14ac:dyDescent="0.45">
      <c r="A89" s="16" t="s">
        <v>123</v>
      </c>
      <c r="B89" s="16" t="s">
        <v>98</v>
      </c>
      <c r="C89" s="17">
        <v>34580</v>
      </c>
      <c r="D89" s="18">
        <v>20</v>
      </c>
      <c r="E89" s="16" t="s">
        <v>22</v>
      </c>
      <c r="F89" s="19">
        <v>69024</v>
      </c>
      <c r="G89" s="19">
        <f t="shared" si="2"/>
        <v>828288</v>
      </c>
      <c r="H89" s="20"/>
      <c r="I89" s="21"/>
      <c r="J89" s="11">
        <f t="shared" si="3"/>
        <v>0</v>
      </c>
      <c r="K89" s="12"/>
      <c r="L89" s="13"/>
      <c r="M89" s="13"/>
      <c r="N89" s="13"/>
    </row>
    <row r="90" spans="1:14" ht="18.5" x14ac:dyDescent="0.45">
      <c r="A90" s="16" t="s">
        <v>124</v>
      </c>
      <c r="B90" s="16" t="s">
        <v>98</v>
      </c>
      <c r="C90" s="17">
        <v>35498</v>
      </c>
      <c r="D90" s="18">
        <v>17</v>
      </c>
      <c r="E90" s="16" t="s">
        <v>22</v>
      </c>
      <c r="F90" s="19">
        <v>38248</v>
      </c>
      <c r="G90" s="19">
        <f t="shared" si="2"/>
        <v>458976</v>
      </c>
      <c r="H90" s="20"/>
      <c r="I90" s="21"/>
      <c r="J90" s="11">
        <f t="shared" si="3"/>
        <v>0</v>
      </c>
      <c r="K90" s="12"/>
      <c r="L90" s="13"/>
      <c r="M90" s="13"/>
      <c r="N90" s="13"/>
    </row>
    <row r="91" spans="1:14" ht="18.5" x14ac:dyDescent="0.45">
      <c r="A91" s="16" t="s">
        <v>125</v>
      </c>
      <c r="B91" s="16" t="s">
        <v>98</v>
      </c>
      <c r="C91" s="17">
        <v>32805</v>
      </c>
      <c r="D91" s="18">
        <v>25</v>
      </c>
      <c r="E91" s="16" t="s">
        <v>27</v>
      </c>
      <c r="F91" s="19">
        <v>69034</v>
      </c>
      <c r="G91" s="19">
        <f t="shared" si="2"/>
        <v>828408</v>
      </c>
      <c r="H91" s="20"/>
      <c r="I91" s="21"/>
      <c r="J91" s="11">
        <f t="shared" si="3"/>
        <v>0</v>
      </c>
      <c r="K91" s="12"/>
      <c r="L91" s="13"/>
      <c r="M91" s="13"/>
      <c r="N91" s="13"/>
    </row>
    <row r="92" spans="1:14" ht="18.5" x14ac:dyDescent="0.45">
      <c r="A92" s="16" t="s">
        <v>126</v>
      </c>
      <c r="B92" s="16" t="s">
        <v>98</v>
      </c>
      <c r="C92" s="17">
        <v>36380</v>
      </c>
      <c r="D92" s="18">
        <v>15</v>
      </c>
      <c r="E92" s="16" t="s">
        <v>31</v>
      </c>
      <c r="F92" s="19">
        <v>41347</v>
      </c>
      <c r="G92" s="19">
        <f t="shared" si="2"/>
        <v>496164</v>
      </c>
      <c r="H92" s="20"/>
      <c r="I92" s="21"/>
      <c r="J92" s="11">
        <f t="shared" si="3"/>
        <v>0</v>
      </c>
      <c r="K92" s="12"/>
      <c r="L92" s="13"/>
      <c r="M92" s="13"/>
      <c r="N92" s="13"/>
    </row>
    <row r="93" spans="1:14" ht="18.5" x14ac:dyDescent="0.45">
      <c r="A93" s="16" t="s">
        <v>127</v>
      </c>
      <c r="B93" s="16" t="s">
        <v>98</v>
      </c>
      <c r="C93" s="17">
        <v>33085</v>
      </c>
      <c r="D93" s="18">
        <v>24</v>
      </c>
      <c r="E93" s="16" t="s">
        <v>31</v>
      </c>
      <c r="F93" s="19">
        <v>62955</v>
      </c>
      <c r="G93" s="19">
        <f t="shared" si="2"/>
        <v>755460</v>
      </c>
      <c r="H93" s="20"/>
      <c r="I93" s="21"/>
      <c r="J93" s="11">
        <f t="shared" si="3"/>
        <v>0</v>
      </c>
      <c r="K93" s="12"/>
      <c r="L93" s="13"/>
      <c r="M93" s="13"/>
      <c r="N93" s="13"/>
    </row>
    <row r="94" spans="1:14" ht="18.5" x14ac:dyDescent="0.45">
      <c r="A94" s="16" t="s">
        <v>128</v>
      </c>
      <c r="B94" s="16" t="s">
        <v>98</v>
      </c>
      <c r="C94" s="17">
        <v>33839</v>
      </c>
      <c r="D94" s="18">
        <v>22</v>
      </c>
      <c r="E94" s="16" t="s">
        <v>22</v>
      </c>
      <c r="F94" s="19">
        <v>40488</v>
      </c>
      <c r="G94" s="19">
        <f t="shared" si="2"/>
        <v>485856</v>
      </c>
      <c r="H94" s="20"/>
      <c r="I94" s="21"/>
      <c r="J94" s="11">
        <f t="shared" si="3"/>
        <v>0</v>
      </c>
      <c r="K94" s="12"/>
      <c r="L94" s="13"/>
      <c r="M94" s="13"/>
      <c r="N94" s="13"/>
    </row>
    <row r="95" spans="1:14" ht="18.5" x14ac:dyDescent="0.45">
      <c r="A95" s="16" t="s">
        <v>129</v>
      </c>
      <c r="B95" s="16" t="s">
        <v>98</v>
      </c>
      <c r="C95" s="17">
        <v>37875</v>
      </c>
      <c r="D95" s="18">
        <v>11</v>
      </c>
      <c r="E95" s="16" t="s">
        <v>22</v>
      </c>
      <c r="F95" s="19">
        <v>74066</v>
      </c>
      <c r="G95" s="19">
        <f t="shared" si="2"/>
        <v>888792</v>
      </c>
      <c r="H95" s="20"/>
      <c r="I95" s="21"/>
      <c r="J95" s="11">
        <f t="shared" si="3"/>
        <v>0</v>
      </c>
      <c r="K95" s="12"/>
      <c r="L95" s="13"/>
      <c r="M95" s="13"/>
      <c r="N95" s="13"/>
    </row>
    <row r="96" spans="1:14" ht="18.5" x14ac:dyDescent="0.45">
      <c r="A96" s="16" t="s">
        <v>130</v>
      </c>
      <c r="B96" s="16" t="s">
        <v>98</v>
      </c>
      <c r="C96" s="17">
        <v>39524</v>
      </c>
      <c r="D96" s="18">
        <v>6</v>
      </c>
      <c r="E96" s="16" t="s">
        <v>31</v>
      </c>
      <c r="F96" s="19">
        <v>31176</v>
      </c>
      <c r="G96" s="19">
        <f t="shared" si="2"/>
        <v>374112</v>
      </c>
      <c r="H96" s="20"/>
      <c r="I96" s="21"/>
      <c r="J96" s="11">
        <f t="shared" si="3"/>
        <v>0</v>
      </c>
      <c r="K96" s="12"/>
      <c r="L96" s="13"/>
      <c r="M96" s="13"/>
      <c r="N96" s="13"/>
    </row>
    <row r="97" spans="1:14" ht="18.5" x14ac:dyDescent="0.45">
      <c r="A97" s="16" t="s">
        <v>131</v>
      </c>
      <c r="B97" s="16" t="s">
        <v>98</v>
      </c>
      <c r="C97" s="17">
        <v>33203</v>
      </c>
      <c r="D97" s="18">
        <v>24</v>
      </c>
      <c r="E97" s="16" t="s">
        <v>31</v>
      </c>
      <c r="F97" s="19">
        <v>31644</v>
      </c>
      <c r="G97" s="19">
        <f t="shared" si="2"/>
        <v>379728</v>
      </c>
      <c r="H97" s="20"/>
      <c r="I97" s="21"/>
      <c r="J97" s="11">
        <f t="shared" si="3"/>
        <v>0</v>
      </c>
      <c r="K97" s="12"/>
      <c r="L97" s="13"/>
      <c r="M97" s="13"/>
      <c r="N97" s="13"/>
    </row>
    <row r="98" spans="1:14" ht="18.5" x14ac:dyDescent="0.45">
      <c r="A98" s="16" t="s">
        <v>132</v>
      </c>
      <c r="B98" s="16" t="s">
        <v>98</v>
      </c>
      <c r="C98" s="17">
        <v>35404</v>
      </c>
      <c r="D98" s="18">
        <v>18</v>
      </c>
      <c r="E98" s="16" t="s">
        <v>31</v>
      </c>
      <c r="F98" s="19">
        <v>73397</v>
      </c>
      <c r="G98" s="19">
        <f t="shared" si="2"/>
        <v>880764</v>
      </c>
      <c r="H98" s="20"/>
      <c r="I98" s="21"/>
      <c r="J98" s="11">
        <f t="shared" si="3"/>
        <v>0</v>
      </c>
      <c r="K98" s="12"/>
      <c r="L98" s="13"/>
      <c r="M98" s="13"/>
      <c r="N98" s="13"/>
    </row>
    <row r="99" spans="1:14" ht="18.5" x14ac:dyDescent="0.45">
      <c r="A99" s="16" t="s">
        <v>133</v>
      </c>
      <c r="B99" s="16" t="s">
        <v>98</v>
      </c>
      <c r="C99" s="17">
        <v>34565</v>
      </c>
      <c r="D99" s="18">
        <v>20</v>
      </c>
      <c r="E99" s="16" t="s">
        <v>22</v>
      </c>
      <c r="F99" s="19">
        <v>21585</v>
      </c>
      <c r="G99" s="19">
        <f t="shared" si="2"/>
        <v>259020</v>
      </c>
      <c r="H99" s="20"/>
      <c r="I99" s="21"/>
      <c r="J99" s="11">
        <f t="shared" si="3"/>
        <v>0</v>
      </c>
      <c r="K99" s="12"/>
      <c r="L99" s="13"/>
      <c r="M99" s="13"/>
      <c r="N99" s="13"/>
    </row>
    <row r="100" spans="1:14" ht="18.5" x14ac:dyDescent="0.45">
      <c r="A100" s="16" t="s">
        <v>134</v>
      </c>
      <c r="B100" s="16" t="s">
        <v>98</v>
      </c>
      <c r="C100" s="17">
        <v>34749</v>
      </c>
      <c r="D100" s="18">
        <v>19</v>
      </c>
      <c r="E100" s="16" t="s">
        <v>22</v>
      </c>
      <c r="F100" s="19">
        <v>34872</v>
      </c>
      <c r="G100" s="19">
        <f t="shared" si="2"/>
        <v>418464</v>
      </c>
      <c r="H100" s="20"/>
      <c r="I100" s="21"/>
      <c r="J100" s="11">
        <f t="shared" si="3"/>
        <v>0</v>
      </c>
      <c r="K100" s="12"/>
      <c r="L100" s="13"/>
      <c r="M100" s="13"/>
      <c r="N100" s="13"/>
    </row>
    <row r="101" spans="1:14" ht="18.5" x14ac:dyDescent="0.45">
      <c r="A101" s="16" t="s">
        <v>135</v>
      </c>
      <c r="B101" s="16" t="s">
        <v>98</v>
      </c>
      <c r="C101" s="17">
        <v>36283</v>
      </c>
      <c r="D101" s="18">
        <v>15</v>
      </c>
      <c r="E101" s="16" t="s">
        <v>22</v>
      </c>
      <c r="F101" s="19">
        <v>79993</v>
      </c>
      <c r="G101" s="19">
        <f t="shared" si="2"/>
        <v>959916</v>
      </c>
      <c r="H101" s="20"/>
      <c r="I101" s="21"/>
      <c r="J101" s="11">
        <f t="shared" si="3"/>
        <v>0</v>
      </c>
      <c r="K101" s="12"/>
      <c r="L101" s="13"/>
      <c r="M101" s="13"/>
      <c r="N101" s="13"/>
    </row>
    <row r="102" spans="1:14" ht="18.5" x14ac:dyDescent="0.45">
      <c r="A102" s="16" t="s">
        <v>136</v>
      </c>
      <c r="B102" s="16" t="s">
        <v>98</v>
      </c>
      <c r="C102" s="17">
        <v>39229</v>
      </c>
      <c r="D102" s="18">
        <v>7</v>
      </c>
      <c r="E102" s="16" t="s">
        <v>22</v>
      </c>
      <c r="F102" s="19">
        <v>48483</v>
      </c>
      <c r="G102" s="19">
        <f t="shared" si="2"/>
        <v>581796</v>
      </c>
      <c r="H102" s="20"/>
      <c r="I102" s="21"/>
      <c r="J102" s="11">
        <f t="shared" si="3"/>
        <v>0</v>
      </c>
      <c r="K102" s="12"/>
      <c r="L102" s="13"/>
      <c r="M102" s="13"/>
      <c r="N102" s="13"/>
    </row>
    <row r="103" spans="1:14" ht="18.5" x14ac:dyDescent="0.45">
      <c r="A103" s="16" t="s">
        <v>137</v>
      </c>
      <c r="B103" s="16" t="s">
        <v>98</v>
      </c>
      <c r="C103" s="17">
        <v>34574</v>
      </c>
      <c r="D103" s="18">
        <v>20</v>
      </c>
      <c r="E103" s="16" t="s">
        <v>22</v>
      </c>
      <c r="F103" s="19">
        <v>63853</v>
      </c>
      <c r="G103" s="19">
        <f t="shared" si="2"/>
        <v>766236</v>
      </c>
      <c r="H103" s="20"/>
      <c r="I103" s="21"/>
      <c r="J103" s="11">
        <f t="shared" si="3"/>
        <v>0</v>
      </c>
      <c r="K103" s="12"/>
      <c r="L103" s="13"/>
      <c r="M103" s="13"/>
      <c r="N103" s="13"/>
    </row>
    <row r="104" spans="1:14" ht="18.5" x14ac:dyDescent="0.45">
      <c r="A104" s="16" t="s">
        <v>138</v>
      </c>
      <c r="B104" s="16" t="s">
        <v>98</v>
      </c>
      <c r="C104" s="17">
        <v>36990</v>
      </c>
      <c r="D104" s="18">
        <v>13</v>
      </c>
      <c r="E104" s="16" t="s">
        <v>22</v>
      </c>
      <c r="F104" s="19">
        <v>42619</v>
      </c>
      <c r="G104" s="19">
        <f t="shared" si="2"/>
        <v>511428</v>
      </c>
      <c r="H104" s="20"/>
      <c r="I104" s="21"/>
      <c r="J104" s="11">
        <f t="shared" si="3"/>
        <v>0</v>
      </c>
      <c r="K104" s="12"/>
      <c r="L104" s="13"/>
      <c r="M104" s="13"/>
      <c r="N104" s="13"/>
    </row>
    <row r="105" spans="1:14" ht="18.5" x14ac:dyDescent="0.45">
      <c r="A105" s="16" t="s">
        <v>139</v>
      </c>
      <c r="B105" s="16" t="s">
        <v>98</v>
      </c>
      <c r="C105" s="17">
        <v>35509</v>
      </c>
      <c r="D105" s="18">
        <v>17</v>
      </c>
      <c r="E105" s="16" t="s">
        <v>31</v>
      </c>
      <c r="F105" s="19">
        <v>65306</v>
      </c>
      <c r="G105" s="19">
        <f t="shared" si="2"/>
        <v>783672</v>
      </c>
      <c r="H105" s="20"/>
      <c r="I105" s="21"/>
      <c r="J105" s="11">
        <f t="shared" si="3"/>
        <v>0</v>
      </c>
      <c r="K105" s="12"/>
      <c r="L105" s="13"/>
      <c r="M105" s="13"/>
      <c r="N105" s="13"/>
    </row>
    <row r="106" spans="1:14" ht="18.5" x14ac:dyDescent="0.45">
      <c r="A106" s="16" t="s">
        <v>140</v>
      </c>
      <c r="B106" s="16" t="s">
        <v>98</v>
      </c>
      <c r="C106" s="17">
        <v>32828</v>
      </c>
      <c r="D106" s="18">
        <v>25</v>
      </c>
      <c r="E106" s="16" t="s">
        <v>31</v>
      </c>
      <c r="F106" s="19">
        <v>44941</v>
      </c>
      <c r="G106" s="19">
        <f t="shared" si="2"/>
        <v>539292</v>
      </c>
      <c r="H106" s="20"/>
      <c r="I106" s="21"/>
      <c r="J106" s="11">
        <f t="shared" si="3"/>
        <v>0</v>
      </c>
      <c r="K106" s="12"/>
      <c r="L106" s="13"/>
      <c r="M106" s="13"/>
      <c r="N106" s="13"/>
    </row>
    <row r="107" spans="1:14" ht="18.5" x14ac:dyDescent="0.45">
      <c r="A107" s="16" t="s">
        <v>141</v>
      </c>
      <c r="B107" s="16" t="s">
        <v>98</v>
      </c>
      <c r="C107" s="17">
        <v>35138</v>
      </c>
      <c r="D107" s="18">
        <v>18</v>
      </c>
      <c r="E107" s="16" t="s">
        <v>22</v>
      </c>
      <c r="F107" s="19">
        <v>59528</v>
      </c>
      <c r="G107" s="19">
        <f t="shared" si="2"/>
        <v>714336</v>
      </c>
      <c r="H107" s="20"/>
      <c r="I107" s="21"/>
      <c r="J107" s="11">
        <f t="shared" si="3"/>
        <v>0</v>
      </c>
      <c r="K107" s="12"/>
      <c r="L107" s="13"/>
      <c r="M107" s="13"/>
      <c r="N107" s="13"/>
    </row>
    <row r="108" spans="1:14" ht="18.5" x14ac:dyDescent="0.45">
      <c r="A108" s="16" t="s">
        <v>142</v>
      </c>
      <c r="B108" s="16" t="s">
        <v>98</v>
      </c>
      <c r="C108" s="17">
        <v>34861</v>
      </c>
      <c r="D108" s="18">
        <v>19</v>
      </c>
      <c r="E108" s="16" t="s">
        <v>24</v>
      </c>
      <c r="F108" s="19">
        <v>53476</v>
      </c>
      <c r="G108" s="19">
        <f t="shared" si="2"/>
        <v>641712</v>
      </c>
      <c r="H108" s="20"/>
      <c r="I108" s="21"/>
      <c r="J108" s="11">
        <f t="shared" si="3"/>
        <v>0</v>
      </c>
      <c r="K108" s="12"/>
      <c r="L108" s="13"/>
      <c r="M108" s="13"/>
      <c r="N108" s="13"/>
    </row>
    <row r="109" spans="1:14" ht="18.5" x14ac:dyDescent="0.45">
      <c r="A109" s="16" t="s">
        <v>143</v>
      </c>
      <c r="B109" s="16" t="s">
        <v>98</v>
      </c>
      <c r="C109" s="17">
        <v>33122</v>
      </c>
      <c r="D109" s="18">
        <v>24</v>
      </c>
      <c r="E109" s="16" t="s">
        <v>22</v>
      </c>
      <c r="F109" s="19">
        <v>73692</v>
      </c>
      <c r="G109" s="19">
        <f t="shared" si="2"/>
        <v>884304</v>
      </c>
      <c r="H109" s="20"/>
      <c r="I109" s="21"/>
      <c r="J109" s="11">
        <f t="shared" si="3"/>
        <v>0</v>
      </c>
      <c r="K109" s="12"/>
      <c r="L109" s="13"/>
      <c r="M109" s="13"/>
      <c r="N109" s="13"/>
    </row>
    <row r="110" spans="1:14" ht="18.5" x14ac:dyDescent="0.45">
      <c r="A110" s="16" t="s">
        <v>144</v>
      </c>
      <c r="B110" s="16" t="s">
        <v>98</v>
      </c>
      <c r="C110" s="17">
        <v>32667</v>
      </c>
      <c r="D110" s="18">
        <v>25</v>
      </c>
      <c r="E110" s="16" t="s">
        <v>22</v>
      </c>
      <c r="F110" s="19">
        <v>34127</v>
      </c>
      <c r="G110" s="19">
        <f t="shared" si="2"/>
        <v>409524</v>
      </c>
      <c r="H110" s="20"/>
      <c r="I110" s="21"/>
      <c r="J110" s="11">
        <f t="shared" si="3"/>
        <v>0</v>
      </c>
      <c r="K110" s="12"/>
      <c r="L110" s="13"/>
      <c r="M110" s="13"/>
      <c r="N110" s="13"/>
    </row>
    <row r="111" spans="1:14" ht="18.5" x14ac:dyDescent="0.45">
      <c r="A111" s="16" t="s">
        <v>145</v>
      </c>
      <c r="B111" s="16" t="s">
        <v>98</v>
      </c>
      <c r="C111" s="17">
        <v>35658</v>
      </c>
      <c r="D111" s="18">
        <v>17</v>
      </c>
      <c r="E111" s="16" t="s">
        <v>24</v>
      </c>
      <c r="F111" s="19">
        <v>75072</v>
      </c>
      <c r="G111" s="19">
        <f t="shared" si="2"/>
        <v>900864</v>
      </c>
      <c r="H111" s="20"/>
      <c r="I111" s="21"/>
      <c r="J111" s="11">
        <f t="shared" si="3"/>
        <v>0</v>
      </c>
      <c r="K111" s="12"/>
      <c r="L111" s="13"/>
      <c r="M111" s="13"/>
      <c r="N111" s="13"/>
    </row>
    <row r="112" spans="1:14" ht="18.5" x14ac:dyDescent="0.45">
      <c r="A112" s="16" t="s">
        <v>146</v>
      </c>
      <c r="B112" s="16" t="s">
        <v>98</v>
      </c>
      <c r="C112" s="17">
        <v>36385</v>
      </c>
      <c r="D112" s="18">
        <v>15</v>
      </c>
      <c r="E112" s="16" t="s">
        <v>22</v>
      </c>
      <c r="F112" s="19">
        <v>67107</v>
      </c>
      <c r="G112" s="19">
        <f t="shared" si="2"/>
        <v>805284</v>
      </c>
      <c r="H112" s="20"/>
      <c r="I112" s="21"/>
      <c r="J112" s="11">
        <f t="shared" si="3"/>
        <v>0</v>
      </c>
      <c r="K112" s="12"/>
      <c r="L112" s="13"/>
      <c r="M112" s="13"/>
      <c r="N112" s="13"/>
    </row>
    <row r="113" spans="1:14" ht="18.5" x14ac:dyDescent="0.45">
      <c r="A113" s="16" t="s">
        <v>147</v>
      </c>
      <c r="B113" s="16" t="s">
        <v>98</v>
      </c>
      <c r="C113" s="17">
        <v>38509</v>
      </c>
      <c r="D113" s="18">
        <v>9</v>
      </c>
      <c r="E113" s="16" t="s">
        <v>22</v>
      </c>
      <c r="F113" s="19">
        <v>38342</v>
      </c>
      <c r="G113" s="19">
        <f t="shared" si="2"/>
        <v>460104</v>
      </c>
      <c r="H113" s="20"/>
      <c r="I113" s="21"/>
      <c r="J113" s="11">
        <f t="shared" si="3"/>
        <v>0</v>
      </c>
      <c r="K113" s="12"/>
      <c r="L113" s="13"/>
      <c r="M113" s="13"/>
      <c r="N113" s="13"/>
    </row>
    <row r="114" spans="1:14" ht="18.5" x14ac:dyDescent="0.45">
      <c r="A114" s="16" t="s">
        <v>148</v>
      </c>
      <c r="B114" s="16" t="s">
        <v>149</v>
      </c>
      <c r="C114" s="17">
        <v>35819</v>
      </c>
      <c r="D114" s="18">
        <v>16</v>
      </c>
      <c r="E114" s="16" t="s">
        <v>31</v>
      </c>
      <c r="F114" s="19">
        <v>74734</v>
      </c>
      <c r="G114" s="19">
        <f t="shared" si="2"/>
        <v>896808</v>
      </c>
      <c r="H114" s="20"/>
      <c r="I114" s="21"/>
      <c r="J114" s="11">
        <f t="shared" si="3"/>
        <v>0</v>
      </c>
      <c r="K114" s="12"/>
      <c r="L114" s="13"/>
      <c r="M114" s="13"/>
      <c r="N114" s="13"/>
    </row>
    <row r="115" spans="1:14" ht="18.5" x14ac:dyDescent="0.45">
      <c r="A115" s="16" t="s">
        <v>150</v>
      </c>
      <c r="B115" s="16" t="s">
        <v>149</v>
      </c>
      <c r="C115" s="17">
        <v>36461</v>
      </c>
      <c r="D115" s="18">
        <v>15</v>
      </c>
      <c r="E115" s="16" t="s">
        <v>22</v>
      </c>
      <c r="F115" s="19">
        <v>46520</v>
      </c>
      <c r="G115" s="19">
        <f t="shared" si="2"/>
        <v>558240</v>
      </c>
      <c r="H115" s="20"/>
      <c r="I115" s="21"/>
      <c r="J115" s="11">
        <f t="shared" si="3"/>
        <v>0</v>
      </c>
      <c r="K115" s="12"/>
      <c r="L115" s="13"/>
      <c r="M115" s="13"/>
      <c r="N115" s="13"/>
    </row>
    <row r="116" spans="1:14" ht="18.5" x14ac:dyDescent="0.45">
      <c r="A116" s="16" t="s">
        <v>151</v>
      </c>
      <c r="B116" s="16" t="s">
        <v>152</v>
      </c>
      <c r="C116" s="17">
        <v>32373</v>
      </c>
      <c r="D116" s="18">
        <v>26</v>
      </c>
      <c r="E116" s="16" t="s">
        <v>24</v>
      </c>
      <c r="F116" s="19">
        <v>40132</v>
      </c>
      <c r="G116" s="19">
        <f t="shared" si="2"/>
        <v>481584</v>
      </c>
      <c r="H116" s="20"/>
      <c r="I116" s="21"/>
      <c r="J116" s="11">
        <f t="shared" si="3"/>
        <v>0</v>
      </c>
      <c r="K116" s="12"/>
      <c r="L116" s="13"/>
      <c r="M116" s="13"/>
      <c r="N116" s="13"/>
    </row>
    <row r="117" spans="1:14" ht="18.5" x14ac:dyDescent="0.45">
      <c r="A117" s="16" t="s">
        <v>153</v>
      </c>
      <c r="B117" s="16" t="s">
        <v>152</v>
      </c>
      <c r="C117" s="17">
        <v>36220</v>
      </c>
      <c r="D117" s="18">
        <v>15</v>
      </c>
      <c r="E117" s="16" t="s">
        <v>24</v>
      </c>
      <c r="F117" s="19">
        <v>63331</v>
      </c>
      <c r="G117" s="19">
        <f t="shared" si="2"/>
        <v>759972</v>
      </c>
      <c r="H117" s="20"/>
      <c r="I117" s="21"/>
      <c r="J117" s="11">
        <f t="shared" si="3"/>
        <v>0</v>
      </c>
      <c r="K117" s="12"/>
      <c r="L117" s="13"/>
      <c r="M117" s="13"/>
      <c r="N117" s="13"/>
    </row>
    <row r="118" spans="1:14" ht="18.5" x14ac:dyDescent="0.45">
      <c r="A118" s="16" t="s">
        <v>154</v>
      </c>
      <c r="B118" s="16" t="s">
        <v>152</v>
      </c>
      <c r="C118" s="17">
        <v>34572</v>
      </c>
      <c r="D118" s="18">
        <v>20</v>
      </c>
      <c r="E118" s="16" t="s">
        <v>31</v>
      </c>
      <c r="F118" s="19">
        <v>58568</v>
      </c>
      <c r="G118" s="19">
        <f t="shared" si="2"/>
        <v>702816</v>
      </c>
      <c r="H118" s="20"/>
      <c r="I118" s="21"/>
      <c r="J118" s="11">
        <f t="shared" si="3"/>
        <v>0</v>
      </c>
      <c r="K118" s="12"/>
      <c r="L118" s="13"/>
      <c r="M118" s="13"/>
      <c r="N118" s="13"/>
    </row>
    <row r="119" spans="1:14" ht="18.5" x14ac:dyDescent="0.45">
      <c r="A119" s="16" t="s">
        <v>155</v>
      </c>
      <c r="B119" s="16" t="s">
        <v>152</v>
      </c>
      <c r="C119" s="17">
        <v>35170</v>
      </c>
      <c r="D119" s="18">
        <v>18</v>
      </c>
      <c r="E119" s="16" t="s">
        <v>22</v>
      </c>
      <c r="F119" s="19">
        <v>23791</v>
      </c>
      <c r="G119" s="19">
        <f t="shared" si="2"/>
        <v>285492</v>
      </c>
      <c r="H119" s="20"/>
      <c r="I119" s="21"/>
      <c r="J119" s="11">
        <f t="shared" si="3"/>
        <v>0</v>
      </c>
      <c r="K119" s="12"/>
      <c r="L119" s="13"/>
      <c r="M119" s="13"/>
      <c r="N119" s="13"/>
    </row>
    <row r="120" spans="1:14" ht="18.5" x14ac:dyDescent="0.45">
      <c r="A120" s="16" t="s">
        <v>156</v>
      </c>
      <c r="B120" s="16" t="s">
        <v>152</v>
      </c>
      <c r="C120" s="17">
        <v>35246</v>
      </c>
      <c r="D120" s="18">
        <v>18</v>
      </c>
      <c r="E120" s="16" t="s">
        <v>31</v>
      </c>
      <c r="F120" s="19">
        <v>70462</v>
      </c>
      <c r="G120" s="19">
        <f t="shared" si="2"/>
        <v>845544</v>
      </c>
      <c r="H120" s="20"/>
      <c r="I120" s="21"/>
      <c r="J120" s="11">
        <f t="shared" si="3"/>
        <v>0</v>
      </c>
      <c r="K120" s="12"/>
      <c r="L120" s="13"/>
      <c r="M120" s="13"/>
      <c r="N120" s="13"/>
    </row>
    <row r="121" spans="1:14" ht="18.5" x14ac:dyDescent="0.45">
      <c r="A121" s="16" t="s">
        <v>157</v>
      </c>
      <c r="B121" s="16" t="s">
        <v>152</v>
      </c>
      <c r="C121" s="17">
        <v>35351</v>
      </c>
      <c r="D121" s="18">
        <v>18</v>
      </c>
      <c r="E121" s="16" t="s">
        <v>22</v>
      </c>
      <c r="F121" s="19">
        <v>57555</v>
      </c>
      <c r="G121" s="19">
        <f t="shared" si="2"/>
        <v>690660</v>
      </c>
      <c r="H121" s="20"/>
      <c r="I121" s="21"/>
      <c r="J121" s="11">
        <f t="shared" si="3"/>
        <v>0</v>
      </c>
      <c r="K121" s="12"/>
      <c r="L121" s="13"/>
      <c r="M121" s="13"/>
      <c r="N121" s="13"/>
    </row>
    <row r="122" spans="1:14" ht="18.5" x14ac:dyDescent="0.45">
      <c r="A122" s="16" t="s">
        <v>158</v>
      </c>
      <c r="B122" s="16" t="s">
        <v>152</v>
      </c>
      <c r="C122" s="17">
        <v>34910</v>
      </c>
      <c r="D122" s="18">
        <v>19</v>
      </c>
      <c r="E122" s="16" t="s">
        <v>22</v>
      </c>
      <c r="F122" s="19">
        <v>50536</v>
      </c>
      <c r="G122" s="19">
        <f t="shared" si="2"/>
        <v>606432</v>
      </c>
      <c r="H122" s="20"/>
      <c r="I122" s="21"/>
      <c r="J122" s="11">
        <f t="shared" si="3"/>
        <v>0</v>
      </c>
      <c r="K122" s="12"/>
      <c r="L122" s="13"/>
      <c r="M122" s="13"/>
      <c r="N122" s="13"/>
    </row>
    <row r="123" spans="1:14" ht="18.5" x14ac:dyDescent="0.45">
      <c r="A123" s="16" t="s">
        <v>159</v>
      </c>
      <c r="B123" s="16" t="s">
        <v>152</v>
      </c>
      <c r="C123" s="17">
        <v>38152</v>
      </c>
      <c r="D123" s="18">
        <v>10</v>
      </c>
      <c r="E123" s="16" t="s">
        <v>24</v>
      </c>
      <c r="F123" s="19">
        <v>41702</v>
      </c>
      <c r="G123" s="19">
        <f t="shared" si="2"/>
        <v>500424</v>
      </c>
      <c r="H123" s="20"/>
      <c r="I123" s="21"/>
      <c r="J123" s="11">
        <f t="shared" si="3"/>
        <v>0</v>
      </c>
      <c r="K123" s="12"/>
      <c r="L123" s="13"/>
      <c r="M123" s="13"/>
      <c r="N123" s="13"/>
    </row>
    <row r="124" spans="1:14" ht="18.5" x14ac:dyDescent="0.45">
      <c r="A124" s="16" t="s">
        <v>160</v>
      </c>
      <c r="B124" s="16" t="s">
        <v>152</v>
      </c>
      <c r="C124" s="17">
        <v>33121</v>
      </c>
      <c r="D124" s="18">
        <v>24</v>
      </c>
      <c r="E124" s="16" t="s">
        <v>22</v>
      </c>
      <c r="F124" s="19">
        <v>77469</v>
      </c>
      <c r="G124" s="19">
        <f t="shared" si="2"/>
        <v>929628</v>
      </c>
      <c r="H124" s="20"/>
      <c r="I124" s="21"/>
      <c r="J124" s="11">
        <f t="shared" si="3"/>
        <v>0</v>
      </c>
      <c r="K124" s="12"/>
      <c r="L124" s="13"/>
      <c r="M124" s="13"/>
      <c r="N124" s="13"/>
    </row>
    <row r="125" spans="1:14" ht="18.5" x14ac:dyDescent="0.45">
      <c r="A125" s="16" t="s">
        <v>161</v>
      </c>
      <c r="B125" s="16" t="s">
        <v>152</v>
      </c>
      <c r="C125" s="17">
        <v>34911</v>
      </c>
      <c r="D125" s="18">
        <v>19</v>
      </c>
      <c r="E125" s="16" t="s">
        <v>22</v>
      </c>
      <c r="F125" s="19">
        <v>73953</v>
      </c>
      <c r="G125" s="19">
        <f t="shared" si="2"/>
        <v>887436</v>
      </c>
      <c r="H125" s="20"/>
      <c r="I125" s="21"/>
      <c r="J125" s="11">
        <f t="shared" si="3"/>
        <v>0</v>
      </c>
      <c r="K125" s="12"/>
      <c r="L125" s="13"/>
      <c r="M125" s="13"/>
      <c r="N125" s="13"/>
    </row>
    <row r="126" spans="1:14" ht="18.5" x14ac:dyDescent="0.45">
      <c r="A126" s="16" t="s">
        <v>162</v>
      </c>
      <c r="B126" s="16" t="s">
        <v>152</v>
      </c>
      <c r="C126" s="17">
        <v>34336</v>
      </c>
      <c r="D126" s="18">
        <v>21</v>
      </c>
      <c r="E126" s="16" t="s">
        <v>22</v>
      </c>
      <c r="F126" s="19">
        <v>34348</v>
      </c>
      <c r="G126" s="19">
        <f t="shared" si="2"/>
        <v>412176</v>
      </c>
      <c r="H126" s="20"/>
      <c r="I126" s="21"/>
      <c r="J126" s="11">
        <f t="shared" si="3"/>
        <v>0</v>
      </c>
      <c r="K126" s="12"/>
      <c r="L126" s="13"/>
      <c r="M126" s="13"/>
      <c r="N126" s="13"/>
    </row>
    <row r="127" spans="1:14" ht="18.5" x14ac:dyDescent="0.45">
      <c r="A127" s="16" t="s">
        <v>163</v>
      </c>
      <c r="B127" s="16" t="s">
        <v>152</v>
      </c>
      <c r="C127" s="17">
        <v>34274</v>
      </c>
      <c r="D127" s="18">
        <v>21</v>
      </c>
      <c r="E127" s="16" t="s">
        <v>22</v>
      </c>
      <c r="F127" s="19">
        <v>41711</v>
      </c>
      <c r="G127" s="19">
        <f t="shared" si="2"/>
        <v>500532</v>
      </c>
      <c r="H127" s="20"/>
      <c r="I127" s="21"/>
      <c r="J127" s="11">
        <f t="shared" si="3"/>
        <v>0</v>
      </c>
      <c r="K127" s="12"/>
      <c r="L127" s="13"/>
      <c r="M127" s="13"/>
      <c r="N127" s="13"/>
    </row>
    <row r="128" spans="1:14" ht="18.5" x14ac:dyDescent="0.45">
      <c r="A128" s="16" t="s">
        <v>164</v>
      </c>
      <c r="B128" s="16" t="s">
        <v>152</v>
      </c>
      <c r="C128" s="17">
        <v>35994</v>
      </c>
      <c r="D128" s="18">
        <v>16</v>
      </c>
      <c r="E128" s="16" t="s">
        <v>22</v>
      </c>
      <c r="F128" s="19">
        <v>52714</v>
      </c>
      <c r="G128" s="19">
        <f t="shared" si="2"/>
        <v>632568</v>
      </c>
      <c r="H128" s="20"/>
      <c r="I128" s="21"/>
      <c r="J128" s="11">
        <f t="shared" si="3"/>
        <v>0</v>
      </c>
      <c r="K128" s="12"/>
      <c r="L128" s="13"/>
      <c r="M128" s="13"/>
      <c r="N128" s="13"/>
    </row>
    <row r="129" spans="1:14" ht="18.5" x14ac:dyDescent="0.45">
      <c r="A129" s="16" t="s">
        <v>165</v>
      </c>
      <c r="B129" s="16" t="s">
        <v>152</v>
      </c>
      <c r="C129" s="17">
        <v>38337</v>
      </c>
      <c r="D129" s="18">
        <v>10</v>
      </c>
      <c r="E129" s="16" t="s">
        <v>31</v>
      </c>
      <c r="F129" s="19">
        <v>59944</v>
      </c>
      <c r="G129" s="19">
        <f t="shared" si="2"/>
        <v>719328</v>
      </c>
      <c r="H129" s="20"/>
      <c r="I129" s="21"/>
      <c r="J129" s="11">
        <f t="shared" si="3"/>
        <v>0</v>
      </c>
      <c r="K129" s="12"/>
      <c r="L129" s="13"/>
      <c r="M129" s="13"/>
      <c r="N129" s="13"/>
    </row>
    <row r="130" spans="1:14" ht="18.5" x14ac:dyDescent="0.45">
      <c r="A130" s="16" t="s">
        <v>166</v>
      </c>
      <c r="B130" s="16" t="s">
        <v>152</v>
      </c>
      <c r="C130" s="17">
        <v>34601</v>
      </c>
      <c r="D130" s="18">
        <v>20</v>
      </c>
      <c r="E130" s="16" t="s">
        <v>22</v>
      </c>
      <c r="F130" s="19">
        <v>66197</v>
      </c>
      <c r="G130" s="19">
        <f t="shared" si="2"/>
        <v>794364</v>
      </c>
      <c r="H130" s="20"/>
      <c r="I130" s="21"/>
      <c r="J130" s="11">
        <f t="shared" si="3"/>
        <v>0</v>
      </c>
      <c r="K130" s="12"/>
      <c r="L130" s="13"/>
      <c r="M130" s="13"/>
      <c r="N130" s="13"/>
    </row>
    <row r="131" spans="1:14" ht="18.5" x14ac:dyDescent="0.45">
      <c r="A131" s="16" t="s">
        <v>167</v>
      </c>
      <c r="B131" s="16" t="s">
        <v>152</v>
      </c>
      <c r="C131" s="17">
        <v>32301</v>
      </c>
      <c r="D131" s="18">
        <v>26</v>
      </c>
      <c r="E131" s="16" t="s">
        <v>22</v>
      </c>
      <c r="F131" s="19">
        <v>25352</v>
      </c>
      <c r="G131" s="19">
        <f t="shared" ref="G131:G194" si="4">+F131*12</f>
        <v>304224</v>
      </c>
      <c r="H131" s="20"/>
      <c r="I131" s="21"/>
      <c r="J131" s="11">
        <f t="shared" ref="J131:J194" si="5">I131*12</f>
        <v>0</v>
      </c>
      <c r="K131" s="12"/>
      <c r="L131" s="13"/>
      <c r="M131" s="13"/>
      <c r="N131" s="13"/>
    </row>
    <row r="132" spans="1:14" ht="18.5" x14ac:dyDescent="0.45">
      <c r="A132" s="16" t="s">
        <v>168</v>
      </c>
      <c r="B132" s="16" t="s">
        <v>152</v>
      </c>
      <c r="C132" s="17">
        <v>32277</v>
      </c>
      <c r="D132" s="18">
        <v>26</v>
      </c>
      <c r="E132" s="16" t="s">
        <v>22</v>
      </c>
      <c r="F132" s="19">
        <v>39569</v>
      </c>
      <c r="G132" s="19">
        <f t="shared" si="4"/>
        <v>474828</v>
      </c>
      <c r="H132" s="20"/>
      <c r="I132" s="21"/>
      <c r="J132" s="11">
        <f t="shared" si="5"/>
        <v>0</v>
      </c>
      <c r="K132" s="12"/>
      <c r="L132" s="13"/>
      <c r="M132" s="13"/>
      <c r="N132" s="13"/>
    </row>
    <row r="133" spans="1:14" ht="18.5" x14ac:dyDescent="0.45">
      <c r="A133" s="16" t="s">
        <v>169</v>
      </c>
      <c r="B133" s="16" t="s">
        <v>170</v>
      </c>
      <c r="C133" s="17">
        <v>36290</v>
      </c>
      <c r="D133" s="18">
        <v>15</v>
      </c>
      <c r="E133" s="16" t="s">
        <v>31</v>
      </c>
      <c r="F133" s="19">
        <v>40924</v>
      </c>
      <c r="G133" s="19">
        <f t="shared" si="4"/>
        <v>491088</v>
      </c>
      <c r="H133" s="20"/>
      <c r="I133" s="21"/>
      <c r="J133" s="11">
        <f t="shared" si="5"/>
        <v>0</v>
      </c>
      <c r="K133" s="12"/>
      <c r="L133" s="13"/>
      <c r="M133" s="13"/>
      <c r="N133" s="13"/>
    </row>
    <row r="134" spans="1:14" ht="18.5" x14ac:dyDescent="0.45">
      <c r="A134" s="16" t="s">
        <v>171</v>
      </c>
      <c r="B134" s="16" t="s">
        <v>170</v>
      </c>
      <c r="C134" s="17">
        <v>32671</v>
      </c>
      <c r="D134" s="18">
        <v>25</v>
      </c>
      <c r="E134" s="16" t="s">
        <v>22</v>
      </c>
      <c r="F134" s="19">
        <v>77134</v>
      </c>
      <c r="G134" s="19">
        <f t="shared" si="4"/>
        <v>925608</v>
      </c>
      <c r="H134" s="20"/>
      <c r="I134" s="21"/>
      <c r="J134" s="11">
        <f t="shared" si="5"/>
        <v>0</v>
      </c>
      <c r="K134" s="12"/>
      <c r="L134" s="13"/>
      <c r="M134" s="13"/>
      <c r="N134" s="13"/>
    </row>
    <row r="135" spans="1:14" ht="18.5" x14ac:dyDescent="0.45">
      <c r="A135" s="16" t="s">
        <v>172</v>
      </c>
      <c r="B135" s="16" t="s">
        <v>170</v>
      </c>
      <c r="C135" s="17">
        <v>39426</v>
      </c>
      <c r="D135" s="18">
        <v>7</v>
      </c>
      <c r="E135" s="16" t="s">
        <v>31</v>
      </c>
      <c r="F135" s="19">
        <v>56257</v>
      </c>
      <c r="G135" s="19">
        <f t="shared" si="4"/>
        <v>675084</v>
      </c>
      <c r="H135" s="20"/>
      <c r="I135" s="21"/>
      <c r="J135" s="11">
        <f t="shared" si="5"/>
        <v>0</v>
      </c>
      <c r="K135" s="12"/>
      <c r="L135" s="13"/>
      <c r="M135" s="13"/>
      <c r="N135" s="13"/>
    </row>
    <row r="136" spans="1:14" ht="18.5" x14ac:dyDescent="0.45">
      <c r="A136" s="16" t="s">
        <v>173</v>
      </c>
      <c r="B136" s="16" t="s">
        <v>170</v>
      </c>
      <c r="C136" s="17">
        <v>35229</v>
      </c>
      <c r="D136" s="18">
        <v>18</v>
      </c>
      <c r="E136" s="16" t="s">
        <v>22</v>
      </c>
      <c r="F136" s="19">
        <v>79576</v>
      </c>
      <c r="G136" s="19">
        <f t="shared" si="4"/>
        <v>954912</v>
      </c>
      <c r="H136" s="20"/>
      <c r="I136" s="21"/>
      <c r="J136" s="11">
        <f t="shared" si="5"/>
        <v>0</v>
      </c>
      <c r="K136" s="12"/>
      <c r="L136" s="13"/>
      <c r="M136" s="13"/>
      <c r="N136" s="13"/>
    </row>
    <row r="137" spans="1:14" ht="18.5" x14ac:dyDescent="0.45">
      <c r="A137" s="16" t="s">
        <v>174</v>
      </c>
      <c r="B137" s="16" t="s">
        <v>170</v>
      </c>
      <c r="C137" s="17">
        <v>35520</v>
      </c>
      <c r="D137" s="18">
        <v>17</v>
      </c>
      <c r="E137" s="16" t="s">
        <v>22</v>
      </c>
      <c r="F137" s="19">
        <v>36401</v>
      </c>
      <c r="G137" s="19">
        <f t="shared" si="4"/>
        <v>436812</v>
      </c>
      <c r="H137" s="20"/>
      <c r="I137" s="21"/>
      <c r="J137" s="11">
        <f t="shared" si="5"/>
        <v>0</v>
      </c>
      <c r="K137" s="12"/>
      <c r="L137" s="13"/>
      <c r="M137" s="13"/>
      <c r="N137" s="13"/>
    </row>
    <row r="138" spans="1:14" ht="18.5" x14ac:dyDescent="0.45">
      <c r="A138" s="16" t="s">
        <v>175</v>
      </c>
      <c r="B138" s="16" t="s">
        <v>170</v>
      </c>
      <c r="C138" s="17">
        <v>32795</v>
      </c>
      <c r="D138" s="18">
        <v>25</v>
      </c>
      <c r="E138" s="16" t="s">
        <v>22</v>
      </c>
      <c r="F138" s="19">
        <v>44462</v>
      </c>
      <c r="G138" s="19">
        <f t="shared" si="4"/>
        <v>533544</v>
      </c>
      <c r="H138" s="20"/>
      <c r="I138" s="21"/>
      <c r="J138" s="11">
        <f t="shared" si="5"/>
        <v>0</v>
      </c>
      <c r="K138" s="12"/>
      <c r="L138" s="13"/>
      <c r="M138" s="13"/>
      <c r="N138" s="13"/>
    </row>
    <row r="139" spans="1:14" ht="18.5" x14ac:dyDescent="0.45">
      <c r="A139" s="16" t="s">
        <v>176</v>
      </c>
      <c r="B139" s="16" t="s">
        <v>170</v>
      </c>
      <c r="C139" s="17">
        <v>35138</v>
      </c>
      <c r="D139" s="18">
        <v>18</v>
      </c>
      <c r="E139" s="16" t="s">
        <v>27</v>
      </c>
      <c r="F139" s="19">
        <v>51566</v>
      </c>
      <c r="G139" s="19">
        <f t="shared" si="4"/>
        <v>618792</v>
      </c>
      <c r="H139" s="20"/>
      <c r="I139" s="21"/>
      <c r="J139" s="11">
        <f t="shared" si="5"/>
        <v>0</v>
      </c>
      <c r="K139" s="12"/>
      <c r="L139" s="13"/>
      <c r="M139" s="13"/>
      <c r="N139" s="13"/>
    </row>
    <row r="140" spans="1:14" ht="18.5" x14ac:dyDescent="0.45">
      <c r="A140" s="16" t="s">
        <v>177</v>
      </c>
      <c r="B140" s="16" t="s">
        <v>178</v>
      </c>
      <c r="C140" s="17">
        <v>34621</v>
      </c>
      <c r="D140" s="18">
        <v>20</v>
      </c>
      <c r="E140" s="16" t="s">
        <v>31</v>
      </c>
      <c r="F140" s="19">
        <v>70073</v>
      </c>
      <c r="G140" s="19">
        <f t="shared" si="4"/>
        <v>840876</v>
      </c>
      <c r="H140" s="20"/>
      <c r="I140" s="21"/>
      <c r="J140" s="11">
        <f t="shared" si="5"/>
        <v>0</v>
      </c>
      <c r="K140" s="12"/>
      <c r="L140" s="13"/>
      <c r="M140" s="13"/>
      <c r="N140" s="13"/>
    </row>
    <row r="141" spans="1:14" ht="18.5" x14ac:dyDescent="0.45">
      <c r="A141" s="16" t="s">
        <v>179</v>
      </c>
      <c r="B141" s="16" t="s">
        <v>180</v>
      </c>
      <c r="C141" s="25">
        <v>39506</v>
      </c>
      <c r="D141" s="18">
        <v>6</v>
      </c>
      <c r="E141" s="16" t="s">
        <v>27</v>
      </c>
      <c r="F141" s="19">
        <v>26562</v>
      </c>
      <c r="G141" s="19">
        <f t="shared" si="4"/>
        <v>318744</v>
      </c>
      <c r="H141" s="20"/>
      <c r="I141" s="21"/>
      <c r="J141" s="11">
        <f t="shared" si="5"/>
        <v>0</v>
      </c>
      <c r="K141" s="12"/>
      <c r="L141" s="13"/>
      <c r="M141" s="13"/>
      <c r="N141" s="13"/>
    </row>
    <row r="142" spans="1:14" ht="18.5" x14ac:dyDescent="0.45">
      <c r="A142" s="16" t="s">
        <v>181</v>
      </c>
      <c r="B142" s="16" t="s">
        <v>180</v>
      </c>
      <c r="C142" s="17">
        <v>32935</v>
      </c>
      <c r="D142" s="18">
        <v>24</v>
      </c>
      <c r="E142" s="16" t="s">
        <v>22</v>
      </c>
      <c r="F142" s="19">
        <v>66848</v>
      </c>
      <c r="G142" s="19">
        <f t="shared" si="4"/>
        <v>802176</v>
      </c>
      <c r="H142" s="20"/>
      <c r="I142" s="21"/>
      <c r="J142" s="11">
        <f t="shared" si="5"/>
        <v>0</v>
      </c>
      <c r="K142" s="12"/>
      <c r="L142" s="13"/>
      <c r="M142" s="13"/>
      <c r="N142" s="13"/>
    </row>
    <row r="143" spans="1:14" ht="18.5" x14ac:dyDescent="0.45">
      <c r="A143" s="16" t="s">
        <v>182</v>
      </c>
      <c r="B143" s="16" t="s">
        <v>180</v>
      </c>
      <c r="C143" s="17">
        <v>33671</v>
      </c>
      <c r="D143" s="18">
        <v>22</v>
      </c>
      <c r="E143" s="16" t="s">
        <v>24</v>
      </c>
      <c r="F143" s="19">
        <v>43095</v>
      </c>
      <c r="G143" s="19">
        <f t="shared" si="4"/>
        <v>517140</v>
      </c>
      <c r="H143" s="20"/>
      <c r="I143" s="21"/>
      <c r="J143" s="11">
        <f t="shared" si="5"/>
        <v>0</v>
      </c>
      <c r="K143" s="12"/>
      <c r="L143" s="13"/>
      <c r="M143" s="13"/>
      <c r="N143" s="13"/>
    </row>
    <row r="144" spans="1:14" ht="18.5" x14ac:dyDescent="0.45">
      <c r="A144" s="16" t="s">
        <v>183</v>
      </c>
      <c r="B144" s="16" t="s">
        <v>180</v>
      </c>
      <c r="C144" s="17">
        <v>36765</v>
      </c>
      <c r="D144" s="18">
        <v>14</v>
      </c>
      <c r="E144" s="16" t="s">
        <v>27</v>
      </c>
      <c r="F144" s="19">
        <v>24253</v>
      </c>
      <c r="G144" s="19">
        <f t="shared" si="4"/>
        <v>291036</v>
      </c>
      <c r="H144" s="20"/>
      <c r="I144" s="21"/>
      <c r="J144" s="11">
        <f t="shared" si="5"/>
        <v>0</v>
      </c>
      <c r="K144" s="12"/>
      <c r="L144" s="13"/>
      <c r="M144" s="13"/>
      <c r="N144" s="13"/>
    </row>
    <row r="145" spans="1:14" ht="18.5" x14ac:dyDescent="0.45">
      <c r="A145" s="16" t="s">
        <v>184</v>
      </c>
      <c r="B145" s="16" t="s">
        <v>180</v>
      </c>
      <c r="C145" s="17">
        <v>34187</v>
      </c>
      <c r="D145" s="18">
        <v>21</v>
      </c>
      <c r="E145" s="16" t="s">
        <v>22</v>
      </c>
      <c r="F145" s="19">
        <v>26586</v>
      </c>
      <c r="G145" s="19">
        <f t="shared" si="4"/>
        <v>319032</v>
      </c>
      <c r="H145" s="20"/>
      <c r="I145" s="21"/>
      <c r="J145" s="11">
        <f t="shared" si="5"/>
        <v>0</v>
      </c>
      <c r="K145" s="12"/>
      <c r="L145" s="13"/>
      <c r="M145" s="13"/>
      <c r="N145" s="13"/>
    </row>
    <row r="146" spans="1:14" ht="18.5" x14ac:dyDescent="0.45">
      <c r="A146" s="16" t="s">
        <v>185</v>
      </c>
      <c r="B146" s="16" t="s">
        <v>180</v>
      </c>
      <c r="C146" s="17">
        <v>38711</v>
      </c>
      <c r="D146" s="18">
        <v>9</v>
      </c>
      <c r="E146" s="16" t="s">
        <v>22</v>
      </c>
      <c r="F146" s="19">
        <v>64650</v>
      </c>
      <c r="G146" s="19">
        <f t="shared" si="4"/>
        <v>775800</v>
      </c>
      <c r="H146" s="20"/>
      <c r="I146" s="21"/>
      <c r="J146" s="11">
        <f t="shared" si="5"/>
        <v>0</v>
      </c>
      <c r="K146" s="12"/>
      <c r="L146" s="13"/>
      <c r="M146" s="13"/>
      <c r="N146" s="13"/>
    </row>
    <row r="147" spans="1:14" ht="18.5" x14ac:dyDescent="0.45">
      <c r="A147" s="16" t="s">
        <v>186</v>
      </c>
      <c r="B147" s="16" t="s">
        <v>180</v>
      </c>
      <c r="C147" s="17">
        <v>38837</v>
      </c>
      <c r="D147" s="18">
        <v>8</v>
      </c>
      <c r="E147" s="16" t="s">
        <v>31</v>
      </c>
      <c r="F147" s="19">
        <v>58790</v>
      </c>
      <c r="G147" s="19">
        <f t="shared" si="4"/>
        <v>705480</v>
      </c>
      <c r="H147" s="20"/>
      <c r="I147" s="21"/>
      <c r="J147" s="11">
        <f t="shared" si="5"/>
        <v>0</v>
      </c>
      <c r="K147" s="12"/>
      <c r="L147" s="13"/>
      <c r="M147" s="13"/>
      <c r="N147" s="13"/>
    </row>
    <row r="148" spans="1:14" ht="18.5" x14ac:dyDescent="0.45">
      <c r="A148" s="16" t="s">
        <v>187</v>
      </c>
      <c r="B148" s="16" t="s">
        <v>180</v>
      </c>
      <c r="C148" s="17">
        <v>34957</v>
      </c>
      <c r="D148" s="18">
        <v>19</v>
      </c>
      <c r="E148" s="16" t="s">
        <v>22</v>
      </c>
      <c r="F148" s="19">
        <v>66033</v>
      </c>
      <c r="G148" s="19">
        <f t="shared" si="4"/>
        <v>792396</v>
      </c>
      <c r="H148" s="20"/>
      <c r="I148" s="21"/>
      <c r="J148" s="11">
        <f t="shared" si="5"/>
        <v>0</v>
      </c>
      <c r="K148" s="12"/>
      <c r="L148" s="13"/>
      <c r="M148" s="13"/>
      <c r="N148" s="13"/>
    </row>
    <row r="149" spans="1:14" ht="18.5" x14ac:dyDescent="0.45">
      <c r="A149" s="16" t="s">
        <v>188</v>
      </c>
      <c r="B149" s="16" t="s">
        <v>180</v>
      </c>
      <c r="C149" s="17">
        <v>39424</v>
      </c>
      <c r="D149" s="18">
        <v>7</v>
      </c>
      <c r="E149" s="16" t="s">
        <v>22</v>
      </c>
      <c r="F149" s="19">
        <v>23067</v>
      </c>
      <c r="G149" s="19">
        <f t="shared" si="4"/>
        <v>276804</v>
      </c>
      <c r="H149" s="20"/>
      <c r="I149" s="21"/>
      <c r="J149" s="11">
        <f t="shared" si="5"/>
        <v>0</v>
      </c>
      <c r="K149" s="12"/>
      <c r="L149" s="13"/>
      <c r="M149" s="13"/>
      <c r="N149" s="13"/>
    </row>
    <row r="150" spans="1:14" ht="18.5" x14ac:dyDescent="0.45">
      <c r="A150" s="16" t="s">
        <v>189</v>
      </c>
      <c r="B150" s="16" t="s">
        <v>180</v>
      </c>
      <c r="C150" s="17">
        <v>33756</v>
      </c>
      <c r="D150" s="18">
        <v>22</v>
      </c>
      <c r="E150" s="16" t="s">
        <v>22</v>
      </c>
      <c r="F150" s="19">
        <v>41604</v>
      </c>
      <c r="G150" s="19">
        <f t="shared" si="4"/>
        <v>499248</v>
      </c>
      <c r="H150" s="20"/>
      <c r="I150" s="21"/>
      <c r="J150" s="11">
        <f t="shared" si="5"/>
        <v>0</v>
      </c>
      <c r="K150" s="12"/>
      <c r="L150" s="13"/>
      <c r="M150" s="13"/>
      <c r="N150" s="13"/>
    </row>
    <row r="151" spans="1:14" ht="18.5" x14ac:dyDescent="0.45">
      <c r="A151" s="16" t="s">
        <v>190</v>
      </c>
      <c r="B151" s="16" t="s">
        <v>180</v>
      </c>
      <c r="C151" s="17">
        <v>37281</v>
      </c>
      <c r="D151" s="18">
        <v>12</v>
      </c>
      <c r="E151" s="16" t="s">
        <v>22</v>
      </c>
      <c r="F151" s="19">
        <v>44688</v>
      </c>
      <c r="G151" s="19">
        <f t="shared" si="4"/>
        <v>536256</v>
      </c>
      <c r="H151" s="20"/>
      <c r="I151" s="21"/>
      <c r="J151" s="11">
        <f t="shared" si="5"/>
        <v>0</v>
      </c>
      <c r="K151" s="12"/>
      <c r="L151" s="13"/>
      <c r="M151" s="13"/>
      <c r="N151" s="13"/>
    </row>
    <row r="152" spans="1:14" ht="18.5" x14ac:dyDescent="0.45">
      <c r="A152" s="16" t="s">
        <v>191</v>
      </c>
      <c r="B152" s="16" t="s">
        <v>180</v>
      </c>
      <c r="C152" s="17">
        <v>35749</v>
      </c>
      <c r="D152" s="18">
        <v>17</v>
      </c>
      <c r="E152" s="16" t="s">
        <v>24</v>
      </c>
      <c r="F152" s="19">
        <v>76959</v>
      </c>
      <c r="G152" s="19">
        <f t="shared" si="4"/>
        <v>923508</v>
      </c>
      <c r="H152" s="20"/>
      <c r="I152" s="21"/>
      <c r="J152" s="11">
        <f t="shared" si="5"/>
        <v>0</v>
      </c>
      <c r="K152" s="12"/>
      <c r="L152" s="13"/>
      <c r="M152" s="13"/>
      <c r="N152" s="13"/>
    </row>
    <row r="153" spans="1:14" ht="18.5" x14ac:dyDescent="0.45">
      <c r="A153" s="16" t="s">
        <v>192</v>
      </c>
      <c r="B153" s="16" t="s">
        <v>180</v>
      </c>
      <c r="C153" s="17">
        <v>34433</v>
      </c>
      <c r="D153" s="18">
        <v>20</v>
      </c>
      <c r="E153" s="16" t="s">
        <v>22</v>
      </c>
      <c r="F153" s="19">
        <v>33846</v>
      </c>
      <c r="G153" s="19">
        <f t="shared" si="4"/>
        <v>406152</v>
      </c>
      <c r="H153" s="20"/>
      <c r="I153" s="21"/>
      <c r="J153" s="11">
        <f t="shared" si="5"/>
        <v>0</v>
      </c>
      <c r="K153" s="12"/>
      <c r="L153" s="13"/>
      <c r="M153" s="13"/>
      <c r="N153" s="13"/>
    </row>
    <row r="154" spans="1:14" ht="18.5" x14ac:dyDescent="0.45">
      <c r="A154" s="16" t="s">
        <v>193</v>
      </c>
      <c r="B154" s="16" t="s">
        <v>180</v>
      </c>
      <c r="C154" s="17">
        <v>37861</v>
      </c>
      <c r="D154" s="18">
        <v>11</v>
      </c>
      <c r="E154" s="16" t="s">
        <v>22</v>
      </c>
      <c r="F154" s="19">
        <v>32835</v>
      </c>
      <c r="G154" s="19">
        <f t="shared" si="4"/>
        <v>394020</v>
      </c>
      <c r="H154" s="20"/>
      <c r="I154" s="21"/>
      <c r="J154" s="11">
        <f t="shared" si="5"/>
        <v>0</v>
      </c>
      <c r="K154" s="12"/>
      <c r="L154" s="13"/>
      <c r="M154" s="13"/>
      <c r="N154" s="13"/>
    </row>
    <row r="155" spans="1:14" ht="18.5" x14ac:dyDescent="0.45">
      <c r="A155" s="16" t="s">
        <v>194</v>
      </c>
      <c r="B155" s="16" t="s">
        <v>180</v>
      </c>
      <c r="C155" s="17">
        <v>32982</v>
      </c>
      <c r="D155" s="18">
        <v>24</v>
      </c>
      <c r="E155" s="16" t="s">
        <v>22</v>
      </c>
      <c r="F155" s="19">
        <v>48502</v>
      </c>
      <c r="G155" s="19">
        <f t="shared" si="4"/>
        <v>582024</v>
      </c>
      <c r="H155" s="20"/>
      <c r="I155" s="21"/>
      <c r="J155" s="11">
        <f t="shared" si="5"/>
        <v>0</v>
      </c>
      <c r="K155" s="12"/>
      <c r="L155" s="13"/>
      <c r="M155" s="13"/>
      <c r="N155" s="13"/>
    </row>
    <row r="156" spans="1:14" ht="18.5" x14ac:dyDescent="0.45">
      <c r="A156" s="16" t="s">
        <v>195</v>
      </c>
      <c r="B156" s="16" t="s">
        <v>196</v>
      </c>
      <c r="C156" s="17">
        <v>32514</v>
      </c>
      <c r="D156" s="18">
        <v>26</v>
      </c>
      <c r="E156" s="16" t="s">
        <v>22</v>
      </c>
      <c r="F156" s="19">
        <v>44477</v>
      </c>
      <c r="G156" s="19">
        <f t="shared" si="4"/>
        <v>533724</v>
      </c>
      <c r="H156" s="20"/>
      <c r="I156" s="21"/>
      <c r="J156" s="11">
        <f t="shared" si="5"/>
        <v>0</v>
      </c>
      <c r="K156" s="12"/>
      <c r="L156" s="13"/>
      <c r="M156" s="13"/>
      <c r="N156" s="13"/>
    </row>
    <row r="157" spans="1:14" ht="18.5" x14ac:dyDescent="0.45">
      <c r="A157" s="16" t="s">
        <v>197</v>
      </c>
      <c r="B157" s="16" t="s">
        <v>196</v>
      </c>
      <c r="C157" s="17">
        <v>32214</v>
      </c>
      <c r="D157" s="18">
        <v>26</v>
      </c>
      <c r="E157" s="16" t="s">
        <v>24</v>
      </c>
      <c r="F157" s="19">
        <v>53915</v>
      </c>
      <c r="G157" s="19">
        <f t="shared" si="4"/>
        <v>646980</v>
      </c>
      <c r="H157" s="20"/>
      <c r="I157" s="21"/>
      <c r="J157" s="11">
        <f t="shared" si="5"/>
        <v>0</v>
      </c>
      <c r="K157" s="12"/>
      <c r="L157" s="13"/>
      <c r="M157" s="13"/>
      <c r="N157" s="13"/>
    </row>
    <row r="158" spans="1:14" ht="18.5" x14ac:dyDescent="0.45">
      <c r="A158" s="16" t="s">
        <v>198</v>
      </c>
      <c r="B158" s="16" t="s">
        <v>196</v>
      </c>
      <c r="C158" s="17">
        <v>32167</v>
      </c>
      <c r="D158" s="18">
        <v>26</v>
      </c>
      <c r="E158" s="16" t="s">
        <v>22</v>
      </c>
      <c r="F158" s="19">
        <v>79259</v>
      </c>
      <c r="G158" s="19">
        <f t="shared" si="4"/>
        <v>951108</v>
      </c>
      <c r="H158" s="20"/>
      <c r="I158" s="21"/>
      <c r="J158" s="11">
        <f t="shared" si="5"/>
        <v>0</v>
      </c>
      <c r="K158" s="12"/>
      <c r="L158" s="13"/>
      <c r="M158" s="13"/>
      <c r="N158" s="13"/>
    </row>
    <row r="159" spans="1:14" ht="18.5" x14ac:dyDescent="0.45">
      <c r="A159" s="16" t="s">
        <v>199</v>
      </c>
      <c r="B159" s="16" t="s">
        <v>196</v>
      </c>
      <c r="C159" s="17">
        <v>32403</v>
      </c>
      <c r="D159" s="18">
        <v>26</v>
      </c>
      <c r="E159" s="16" t="s">
        <v>24</v>
      </c>
      <c r="F159" s="19">
        <v>35246</v>
      </c>
      <c r="G159" s="19">
        <f t="shared" si="4"/>
        <v>422952</v>
      </c>
      <c r="H159" s="20"/>
      <c r="I159" s="21"/>
      <c r="J159" s="11">
        <f t="shared" si="5"/>
        <v>0</v>
      </c>
      <c r="K159" s="12"/>
      <c r="L159" s="13"/>
      <c r="M159" s="13"/>
      <c r="N159" s="13"/>
    </row>
    <row r="160" spans="1:14" ht="18.5" x14ac:dyDescent="0.45">
      <c r="A160" s="16" t="s">
        <v>200</v>
      </c>
      <c r="B160" s="16" t="s">
        <v>196</v>
      </c>
      <c r="C160" s="17">
        <v>32567</v>
      </c>
      <c r="D160" s="18">
        <v>25</v>
      </c>
      <c r="E160" s="16" t="s">
        <v>22</v>
      </c>
      <c r="F160" s="19">
        <v>24108</v>
      </c>
      <c r="G160" s="19">
        <f t="shared" si="4"/>
        <v>289296</v>
      </c>
      <c r="H160" s="20"/>
      <c r="I160" s="21"/>
      <c r="J160" s="11">
        <f t="shared" si="5"/>
        <v>0</v>
      </c>
      <c r="K160" s="12"/>
      <c r="L160" s="13"/>
      <c r="M160" s="13"/>
      <c r="N160" s="13"/>
    </row>
    <row r="161" spans="1:14" ht="18.5" x14ac:dyDescent="0.45">
      <c r="A161" s="16" t="s">
        <v>201</v>
      </c>
      <c r="B161" s="16" t="s">
        <v>202</v>
      </c>
      <c r="C161" s="17">
        <v>35140</v>
      </c>
      <c r="D161" s="18">
        <v>18</v>
      </c>
      <c r="E161" s="16" t="s">
        <v>31</v>
      </c>
      <c r="F161" s="19">
        <v>54410</v>
      </c>
      <c r="G161" s="19">
        <f t="shared" si="4"/>
        <v>652920</v>
      </c>
      <c r="H161" s="20"/>
      <c r="I161" s="21"/>
      <c r="J161" s="11">
        <f t="shared" si="5"/>
        <v>0</v>
      </c>
      <c r="K161" s="12"/>
      <c r="L161" s="13"/>
      <c r="M161" s="13"/>
      <c r="N161" s="13"/>
    </row>
    <row r="162" spans="1:14" ht="18.5" x14ac:dyDescent="0.45">
      <c r="A162" s="16" t="s">
        <v>203</v>
      </c>
      <c r="B162" s="16" t="s">
        <v>202</v>
      </c>
      <c r="C162" s="17">
        <v>35271</v>
      </c>
      <c r="D162" s="18">
        <v>18</v>
      </c>
      <c r="E162" s="16" t="s">
        <v>24</v>
      </c>
      <c r="F162" s="19">
        <v>53852</v>
      </c>
      <c r="G162" s="19">
        <f t="shared" si="4"/>
        <v>646224</v>
      </c>
      <c r="H162" s="20"/>
      <c r="I162" s="21"/>
      <c r="J162" s="11">
        <f t="shared" si="5"/>
        <v>0</v>
      </c>
      <c r="K162" s="12"/>
      <c r="L162" s="13"/>
      <c r="M162" s="13"/>
      <c r="N162" s="13"/>
    </row>
    <row r="163" spans="1:14" ht="18.5" x14ac:dyDescent="0.45">
      <c r="A163" s="16" t="s">
        <v>204</v>
      </c>
      <c r="B163" s="16" t="s">
        <v>202</v>
      </c>
      <c r="C163" s="17">
        <v>32221</v>
      </c>
      <c r="D163" s="18">
        <v>26</v>
      </c>
      <c r="E163" s="16" t="s">
        <v>31</v>
      </c>
      <c r="F163" s="19">
        <v>36081</v>
      </c>
      <c r="G163" s="19">
        <f t="shared" si="4"/>
        <v>432972</v>
      </c>
      <c r="H163" s="20"/>
      <c r="I163" s="21"/>
      <c r="J163" s="11">
        <f t="shared" si="5"/>
        <v>0</v>
      </c>
      <c r="K163" s="12"/>
      <c r="L163" s="13"/>
      <c r="M163" s="13"/>
      <c r="N163" s="13"/>
    </row>
    <row r="164" spans="1:14" ht="18.5" x14ac:dyDescent="0.45">
      <c r="A164" s="16" t="s">
        <v>205</v>
      </c>
      <c r="B164" s="16" t="s">
        <v>202</v>
      </c>
      <c r="C164" s="17">
        <v>36755</v>
      </c>
      <c r="D164" s="18">
        <v>14</v>
      </c>
      <c r="E164" s="16" t="s">
        <v>22</v>
      </c>
      <c r="F164" s="19">
        <v>29868</v>
      </c>
      <c r="G164" s="19">
        <f t="shared" si="4"/>
        <v>358416</v>
      </c>
      <c r="H164" s="20"/>
      <c r="I164" s="21"/>
      <c r="J164" s="11">
        <f t="shared" si="5"/>
        <v>0</v>
      </c>
      <c r="K164" s="12"/>
      <c r="L164" s="13"/>
      <c r="M164" s="13"/>
      <c r="N164" s="13"/>
    </row>
    <row r="165" spans="1:14" ht="18.5" x14ac:dyDescent="0.45">
      <c r="A165" s="16" t="s">
        <v>206</v>
      </c>
      <c r="B165" s="16" t="s">
        <v>202</v>
      </c>
      <c r="C165" s="17">
        <v>35082</v>
      </c>
      <c r="D165" s="18">
        <v>18</v>
      </c>
      <c r="E165" s="16" t="s">
        <v>27</v>
      </c>
      <c r="F165" s="19">
        <v>46275</v>
      </c>
      <c r="G165" s="19">
        <f t="shared" si="4"/>
        <v>555300</v>
      </c>
      <c r="H165" s="20"/>
      <c r="I165" s="21"/>
      <c r="J165" s="11">
        <f t="shared" si="5"/>
        <v>0</v>
      </c>
      <c r="K165" s="12"/>
      <c r="L165" s="13"/>
      <c r="M165" s="13"/>
      <c r="N165" s="13"/>
    </row>
    <row r="166" spans="1:14" ht="18.5" x14ac:dyDescent="0.45">
      <c r="A166" s="16" t="s">
        <v>207</v>
      </c>
      <c r="B166" s="16" t="s">
        <v>202</v>
      </c>
      <c r="C166" s="17">
        <v>34972</v>
      </c>
      <c r="D166" s="18">
        <v>19</v>
      </c>
      <c r="E166" s="16" t="s">
        <v>22</v>
      </c>
      <c r="F166" s="19">
        <v>30819</v>
      </c>
      <c r="G166" s="19">
        <f t="shared" si="4"/>
        <v>369828</v>
      </c>
      <c r="H166" s="20"/>
      <c r="I166" s="21"/>
      <c r="J166" s="11">
        <f t="shared" si="5"/>
        <v>0</v>
      </c>
      <c r="K166" s="12"/>
      <c r="L166" s="13"/>
      <c r="M166" s="13"/>
      <c r="N166" s="13"/>
    </row>
    <row r="167" spans="1:14" ht="18.5" x14ac:dyDescent="0.45">
      <c r="A167" s="16" t="s">
        <v>208</v>
      </c>
      <c r="B167" s="16" t="s">
        <v>202</v>
      </c>
      <c r="C167" s="17">
        <v>36580</v>
      </c>
      <c r="D167" s="18">
        <v>14</v>
      </c>
      <c r="E167" s="16" t="s">
        <v>31</v>
      </c>
      <c r="F167" s="19">
        <v>58468</v>
      </c>
      <c r="G167" s="19">
        <f t="shared" si="4"/>
        <v>701616</v>
      </c>
      <c r="H167" s="20"/>
      <c r="I167" s="21"/>
      <c r="J167" s="11">
        <f t="shared" si="5"/>
        <v>0</v>
      </c>
      <c r="K167" s="12"/>
      <c r="L167" s="13"/>
      <c r="M167" s="13"/>
      <c r="N167" s="13"/>
    </row>
    <row r="168" spans="1:14" ht="18.5" x14ac:dyDescent="0.45">
      <c r="A168" s="16" t="s">
        <v>209</v>
      </c>
      <c r="B168" s="16" t="s">
        <v>202</v>
      </c>
      <c r="C168" s="17">
        <v>32514</v>
      </c>
      <c r="D168" s="18">
        <v>26</v>
      </c>
      <c r="E168" s="16" t="s">
        <v>22</v>
      </c>
      <c r="F168" s="19">
        <v>46907</v>
      </c>
      <c r="G168" s="19">
        <f t="shared" si="4"/>
        <v>562884</v>
      </c>
      <c r="H168" s="20"/>
      <c r="I168" s="21"/>
      <c r="J168" s="11">
        <f t="shared" si="5"/>
        <v>0</v>
      </c>
      <c r="K168" s="12"/>
      <c r="L168" s="13"/>
      <c r="M168" s="13"/>
      <c r="N168" s="13"/>
    </row>
    <row r="169" spans="1:14" ht="18.5" x14ac:dyDescent="0.45">
      <c r="A169" s="16" t="s">
        <v>210</v>
      </c>
      <c r="B169" s="16" t="s">
        <v>202</v>
      </c>
      <c r="C169" s="17">
        <v>34148</v>
      </c>
      <c r="D169" s="18">
        <v>21</v>
      </c>
      <c r="E169" s="16" t="s">
        <v>22</v>
      </c>
      <c r="F169" s="19">
        <v>75460</v>
      </c>
      <c r="G169" s="19">
        <f t="shared" si="4"/>
        <v>905520</v>
      </c>
      <c r="H169" s="20"/>
      <c r="I169" s="21"/>
      <c r="J169" s="11">
        <f t="shared" si="5"/>
        <v>0</v>
      </c>
      <c r="K169" s="12"/>
      <c r="L169" s="13"/>
      <c r="M169" s="13"/>
      <c r="N169" s="13"/>
    </row>
    <row r="170" spans="1:14" ht="18.5" x14ac:dyDescent="0.45">
      <c r="A170" s="16" t="s">
        <v>211</v>
      </c>
      <c r="B170" s="16" t="s">
        <v>202</v>
      </c>
      <c r="C170" s="17">
        <v>32288</v>
      </c>
      <c r="D170" s="18">
        <v>26</v>
      </c>
      <c r="E170" s="16" t="s">
        <v>31</v>
      </c>
      <c r="F170" s="19">
        <v>33498</v>
      </c>
      <c r="G170" s="19">
        <f t="shared" si="4"/>
        <v>401976</v>
      </c>
      <c r="H170" s="20"/>
      <c r="I170" s="21"/>
      <c r="J170" s="11">
        <f t="shared" si="5"/>
        <v>0</v>
      </c>
      <c r="K170" s="12"/>
      <c r="L170" s="13"/>
      <c r="M170" s="13"/>
      <c r="N170" s="13"/>
    </row>
    <row r="171" spans="1:14" ht="18.5" x14ac:dyDescent="0.45">
      <c r="A171" s="16" t="s">
        <v>212</v>
      </c>
      <c r="B171" s="16" t="s">
        <v>202</v>
      </c>
      <c r="C171" s="17">
        <v>34595</v>
      </c>
      <c r="D171" s="18">
        <v>20</v>
      </c>
      <c r="E171" s="16" t="s">
        <v>31</v>
      </c>
      <c r="F171" s="19">
        <v>57074</v>
      </c>
      <c r="G171" s="19">
        <f t="shared" si="4"/>
        <v>684888</v>
      </c>
      <c r="H171" s="20"/>
      <c r="I171" s="21"/>
      <c r="J171" s="11">
        <f t="shared" si="5"/>
        <v>0</v>
      </c>
      <c r="K171" s="12"/>
      <c r="L171" s="13"/>
      <c r="M171" s="13"/>
      <c r="N171" s="13"/>
    </row>
    <row r="172" spans="1:14" ht="18.5" x14ac:dyDescent="0.45">
      <c r="A172" s="16" t="s">
        <v>213</v>
      </c>
      <c r="B172" s="16" t="s">
        <v>202</v>
      </c>
      <c r="C172" s="17">
        <v>35249</v>
      </c>
      <c r="D172" s="18">
        <v>18</v>
      </c>
      <c r="E172" s="16" t="s">
        <v>22</v>
      </c>
      <c r="F172" s="19">
        <v>77339</v>
      </c>
      <c r="G172" s="19">
        <f t="shared" si="4"/>
        <v>928068</v>
      </c>
      <c r="H172" s="20"/>
      <c r="I172" s="21"/>
      <c r="J172" s="11">
        <f t="shared" si="5"/>
        <v>0</v>
      </c>
      <c r="K172" s="12"/>
      <c r="L172" s="13"/>
      <c r="M172" s="13"/>
      <c r="N172" s="13"/>
    </row>
    <row r="173" spans="1:14" ht="18.5" x14ac:dyDescent="0.45">
      <c r="A173" s="16" t="s">
        <v>214</v>
      </c>
      <c r="B173" s="16" t="s">
        <v>202</v>
      </c>
      <c r="C173" s="17">
        <v>35044</v>
      </c>
      <c r="D173" s="18">
        <v>19</v>
      </c>
      <c r="E173" s="16" t="s">
        <v>22</v>
      </c>
      <c r="F173" s="19">
        <v>55624</v>
      </c>
      <c r="G173" s="19">
        <f t="shared" si="4"/>
        <v>667488</v>
      </c>
      <c r="H173" s="20"/>
      <c r="I173" s="21"/>
      <c r="J173" s="11">
        <f t="shared" si="5"/>
        <v>0</v>
      </c>
      <c r="K173" s="12"/>
      <c r="L173" s="13"/>
      <c r="M173" s="13"/>
      <c r="N173" s="13"/>
    </row>
    <row r="174" spans="1:14" ht="18.5" x14ac:dyDescent="0.45">
      <c r="A174" s="16" t="s">
        <v>215</v>
      </c>
      <c r="B174" s="16" t="s">
        <v>202</v>
      </c>
      <c r="C174" s="25">
        <v>39308</v>
      </c>
      <c r="D174" s="18">
        <v>7</v>
      </c>
      <c r="E174" s="16" t="s">
        <v>24</v>
      </c>
      <c r="F174" s="19">
        <v>74371</v>
      </c>
      <c r="G174" s="19">
        <f t="shared" si="4"/>
        <v>892452</v>
      </c>
      <c r="H174" s="20"/>
      <c r="I174" s="21"/>
      <c r="J174" s="11">
        <f t="shared" si="5"/>
        <v>0</v>
      </c>
      <c r="K174" s="12"/>
      <c r="L174" s="13"/>
      <c r="M174" s="13"/>
      <c r="N174" s="13"/>
    </row>
    <row r="175" spans="1:14" ht="18.5" x14ac:dyDescent="0.45">
      <c r="A175" s="16" t="s">
        <v>216</v>
      </c>
      <c r="B175" s="16" t="s">
        <v>202</v>
      </c>
      <c r="C175" s="17">
        <v>34273</v>
      </c>
      <c r="D175" s="18">
        <v>21</v>
      </c>
      <c r="E175" s="16" t="s">
        <v>22</v>
      </c>
      <c r="F175" s="19">
        <v>66658</v>
      </c>
      <c r="G175" s="19">
        <f t="shared" si="4"/>
        <v>799896</v>
      </c>
      <c r="H175" s="20"/>
      <c r="I175" s="21"/>
      <c r="J175" s="11">
        <f t="shared" si="5"/>
        <v>0</v>
      </c>
      <c r="K175" s="12"/>
      <c r="L175" s="13"/>
      <c r="M175" s="13"/>
      <c r="N175" s="13"/>
    </row>
    <row r="176" spans="1:14" ht="18.5" x14ac:dyDescent="0.45">
      <c r="A176" s="16" t="s">
        <v>217</v>
      </c>
      <c r="B176" s="16" t="s">
        <v>202</v>
      </c>
      <c r="C176" s="17">
        <v>38918</v>
      </c>
      <c r="D176" s="18">
        <v>8</v>
      </c>
      <c r="E176" s="16" t="s">
        <v>22</v>
      </c>
      <c r="F176" s="19">
        <v>67145</v>
      </c>
      <c r="G176" s="19">
        <f t="shared" si="4"/>
        <v>805740</v>
      </c>
      <c r="H176" s="20"/>
      <c r="I176" s="21"/>
      <c r="J176" s="11">
        <f t="shared" si="5"/>
        <v>0</v>
      </c>
      <c r="K176" s="12"/>
      <c r="L176" s="13"/>
      <c r="M176" s="13"/>
      <c r="N176" s="13"/>
    </row>
    <row r="177" spans="1:14" ht="18.5" x14ac:dyDescent="0.45">
      <c r="A177" s="16" t="s">
        <v>218</v>
      </c>
      <c r="B177" s="16" t="s">
        <v>202</v>
      </c>
      <c r="C177" s="17">
        <v>34205</v>
      </c>
      <c r="D177" s="18">
        <v>21</v>
      </c>
      <c r="E177" s="16" t="s">
        <v>22</v>
      </c>
      <c r="F177" s="19">
        <v>77628</v>
      </c>
      <c r="G177" s="19">
        <f t="shared" si="4"/>
        <v>931536</v>
      </c>
      <c r="H177" s="20"/>
      <c r="I177" s="21"/>
      <c r="J177" s="11">
        <f t="shared" si="5"/>
        <v>0</v>
      </c>
      <c r="K177" s="12"/>
      <c r="L177" s="13"/>
      <c r="M177" s="13"/>
      <c r="N177" s="13"/>
    </row>
    <row r="178" spans="1:14" ht="18.5" x14ac:dyDescent="0.45">
      <c r="A178" s="16" t="s">
        <v>219</v>
      </c>
      <c r="B178" s="16" t="s">
        <v>202</v>
      </c>
      <c r="C178" s="17">
        <v>32569</v>
      </c>
      <c r="D178" s="18">
        <v>25</v>
      </c>
      <c r="E178" s="16" t="s">
        <v>31</v>
      </c>
      <c r="F178" s="19">
        <v>62999</v>
      </c>
      <c r="G178" s="19">
        <f t="shared" si="4"/>
        <v>755988</v>
      </c>
      <c r="H178" s="20"/>
      <c r="I178" s="21"/>
      <c r="J178" s="11">
        <f t="shared" si="5"/>
        <v>0</v>
      </c>
      <c r="K178" s="12"/>
      <c r="L178" s="13"/>
      <c r="M178" s="13"/>
      <c r="N178" s="13"/>
    </row>
    <row r="179" spans="1:14" ht="18.5" x14ac:dyDescent="0.45">
      <c r="A179" s="16" t="s">
        <v>220</v>
      </c>
      <c r="B179" s="16" t="s">
        <v>202</v>
      </c>
      <c r="C179" s="17">
        <v>35000</v>
      </c>
      <c r="D179" s="18">
        <v>19</v>
      </c>
      <c r="E179" s="16" t="s">
        <v>27</v>
      </c>
      <c r="F179" s="19">
        <v>78346</v>
      </c>
      <c r="G179" s="19">
        <f t="shared" si="4"/>
        <v>940152</v>
      </c>
      <c r="H179" s="20"/>
      <c r="I179" s="21"/>
      <c r="J179" s="11">
        <f t="shared" si="5"/>
        <v>0</v>
      </c>
      <c r="K179" s="12"/>
      <c r="L179" s="13"/>
      <c r="M179" s="13"/>
      <c r="N179" s="13"/>
    </row>
    <row r="180" spans="1:14" ht="18.5" x14ac:dyDescent="0.45">
      <c r="A180" s="16" t="s">
        <v>221</v>
      </c>
      <c r="B180" s="16" t="s">
        <v>202</v>
      </c>
      <c r="C180" s="17">
        <v>33276</v>
      </c>
      <c r="D180" s="18">
        <v>23</v>
      </c>
      <c r="E180" s="16" t="s">
        <v>22</v>
      </c>
      <c r="F180" s="19">
        <v>64978</v>
      </c>
      <c r="G180" s="19">
        <f t="shared" si="4"/>
        <v>779736</v>
      </c>
      <c r="H180" s="20"/>
      <c r="I180" s="21"/>
      <c r="J180" s="11">
        <f t="shared" si="5"/>
        <v>0</v>
      </c>
      <c r="K180" s="12"/>
      <c r="L180" s="13"/>
      <c r="M180" s="13"/>
      <c r="N180" s="13"/>
    </row>
    <row r="181" spans="1:14" ht="18.5" x14ac:dyDescent="0.45">
      <c r="A181" s="16" t="s">
        <v>222</v>
      </c>
      <c r="B181" s="16" t="s">
        <v>202</v>
      </c>
      <c r="C181" s="17">
        <v>35434</v>
      </c>
      <c r="D181" s="18">
        <v>18</v>
      </c>
      <c r="E181" s="16" t="s">
        <v>27</v>
      </c>
      <c r="F181" s="19">
        <v>43999</v>
      </c>
      <c r="G181" s="19">
        <f t="shared" si="4"/>
        <v>527988</v>
      </c>
      <c r="H181" s="20"/>
      <c r="I181" s="21"/>
      <c r="J181" s="11">
        <f t="shared" si="5"/>
        <v>0</v>
      </c>
      <c r="K181" s="12"/>
      <c r="L181" s="13"/>
      <c r="M181" s="13"/>
      <c r="N181" s="13"/>
    </row>
    <row r="182" spans="1:14" ht="18.5" x14ac:dyDescent="0.45">
      <c r="A182" s="16" t="s">
        <v>223</v>
      </c>
      <c r="B182" s="16" t="s">
        <v>202</v>
      </c>
      <c r="C182" s="17">
        <v>37477</v>
      </c>
      <c r="D182" s="18">
        <v>12</v>
      </c>
      <c r="E182" s="16" t="s">
        <v>22</v>
      </c>
      <c r="F182" s="19">
        <v>62538</v>
      </c>
      <c r="G182" s="19">
        <f t="shared" si="4"/>
        <v>750456</v>
      </c>
      <c r="H182" s="20"/>
      <c r="I182" s="21"/>
      <c r="J182" s="11">
        <f t="shared" si="5"/>
        <v>0</v>
      </c>
      <c r="K182" s="12"/>
      <c r="L182" s="13"/>
      <c r="M182" s="13"/>
      <c r="N182" s="13"/>
    </row>
    <row r="183" spans="1:14" ht="18.5" x14ac:dyDescent="0.45">
      <c r="A183" s="16" t="s">
        <v>224</v>
      </c>
      <c r="B183" s="16" t="s">
        <v>202</v>
      </c>
      <c r="C183" s="17">
        <v>32182</v>
      </c>
      <c r="D183" s="18">
        <v>26</v>
      </c>
      <c r="E183" s="16" t="s">
        <v>22</v>
      </c>
      <c r="F183" s="19">
        <v>51162</v>
      </c>
      <c r="G183" s="19">
        <f t="shared" si="4"/>
        <v>613944</v>
      </c>
      <c r="H183" s="20"/>
      <c r="I183" s="21"/>
      <c r="J183" s="11">
        <f t="shared" si="5"/>
        <v>0</v>
      </c>
      <c r="K183" s="12"/>
      <c r="L183" s="13"/>
      <c r="M183" s="13"/>
      <c r="N183" s="13"/>
    </row>
    <row r="184" spans="1:14" ht="18.5" x14ac:dyDescent="0.45">
      <c r="A184" s="16" t="s">
        <v>225</v>
      </c>
      <c r="B184" s="16" t="s">
        <v>202</v>
      </c>
      <c r="C184" s="17">
        <v>32632</v>
      </c>
      <c r="D184" s="18">
        <v>25</v>
      </c>
      <c r="E184" s="16" t="s">
        <v>31</v>
      </c>
      <c r="F184" s="19">
        <v>66581</v>
      </c>
      <c r="G184" s="19">
        <f t="shared" si="4"/>
        <v>798972</v>
      </c>
      <c r="H184" s="20"/>
      <c r="I184" s="21"/>
      <c r="J184" s="11">
        <f t="shared" si="5"/>
        <v>0</v>
      </c>
      <c r="K184" s="12"/>
      <c r="L184" s="13"/>
      <c r="M184" s="13"/>
      <c r="N184" s="13"/>
    </row>
    <row r="185" spans="1:14" ht="18.5" x14ac:dyDescent="0.45">
      <c r="A185" s="16" t="s">
        <v>226</v>
      </c>
      <c r="B185" s="16" t="s">
        <v>202</v>
      </c>
      <c r="C185" s="17">
        <v>33847</v>
      </c>
      <c r="D185" s="18">
        <v>22</v>
      </c>
      <c r="E185" s="16" t="s">
        <v>24</v>
      </c>
      <c r="F185" s="19">
        <v>68863</v>
      </c>
      <c r="G185" s="19">
        <f t="shared" si="4"/>
        <v>826356</v>
      </c>
      <c r="H185" s="20"/>
      <c r="I185" s="21"/>
      <c r="J185" s="11">
        <f t="shared" si="5"/>
        <v>0</v>
      </c>
      <c r="K185" s="12"/>
      <c r="L185" s="13"/>
      <c r="M185" s="13"/>
      <c r="N185" s="13"/>
    </row>
    <row r="186" spans="1:14" ht="18.5" x14ac:dyDescent="0.45">
      <c r="A186" s="16" t="s">
        <v>227</v>
      </c>
      <c r="B186" s="16" t="s">
        <v>202</v>
      </c>
      <c r="C186" s="17">
        <v>35190</v>
      </c>
      <c r="D186" s="18">
        <v>18</v>
      </c>
      <c r="E186" s="16" t="s">
        <v>22</v>
      </c>
      <c r="F186" s="19">
        <v>64885</v>
      </c>
      <c r="G186" s="19">
        <f t="shared" si="4"/>
        <v>778620</v>
      </c>
      <c r="H186" s="20"/>
      <c r="I186" s="21"/>
      <c r="J186" s="11">
        <f t="shared" si="5"/>
        <v>0</v>
      </c>
      <c r="K186" s="12"/>
      <c r="L186" s="13"/>
      <c r="M186" s="13"/>
      <c r="N186" s="13"/>
    </row>
    <row r="187" spans="1:14" ht="18.5" x14ac:dyDescent="0.45">
      <c r="A187" s="16" t="s">
        <v>228</v>
      </c>
      <c r="B187" s="16" t="s">
        <v>202</v>
      </c>
      <c r="C187" s="17">
        <v>39220</v>
      </c>
      <c r="D187" s="18">
        <v>7</v>
      </c>
      <c r="E187" s="16" t="s">
        <v>24</v>
      </c>
      <c r="F187" s="19">
        <v>45852</v>
      </c>
      <c r="G187" s="19">
        <f t="shared" si="4"/>
        <v>550224</v>
      </c>
      <c r="H187" s="20"/>
      <c r="I187" s="21"/>
      <c r="J187" s="11">
        <f t="shared" si="5"/>
        <v>0</v>
      </c>
      <c r="K187" s="12"/>
      <c r="L187" s="13"/>
      <c r="M187" s="13"/>
      <c r="N187" s="13"/>
    </row>
    <row r="188" spans="1:14" ht="18.5" x14ac:dyDescent="0.45">
      <c r="A188" s="16" t="s">
        <v>229</v>
      </c>
      <c r="B188" s="16" t="s">
        <v>202</v>
      </c>
      <c r="C188" s="17">
        <v>35727</v>
      </c>
      <c r="D188" s="18">
        <v>17</v>
      </c>
      <c r="E188" s="16" t="s">
        <v>22</v>
      </c>
      <c r="F188" s="19">
        <v>72634</v>
      </c>
      <c r="G188" s="19">
        <f t="shared" si="4"/>
        <v>871608</v>
      </c>
      <c r="H188" s="20"/>
      <c r="I188" s="21"/>
      <c r="J188" s="11">
        <f t="shared" si="5"/>
        <v>0</v>
      </c>
      <c r="K188" s="12"/>
      <c r="L188" s="13"/>
      <c r="M188" s="13"/>
      <c r="N188" s="13"/>
    </row>
    <row r="189" spans="1:14" ht="18.5" x14ac:dyDescent="0.45">
      <c r="A189" s="16" t="s">
        <v>230</v>
      </c>
      <c r="B189" s="16" t="s">
        <v>202</v>
      </c>
      <c r="C189" s="17">
        <v>32725</v>
      </c>
      <c r="D189" s="18">
        <v>25</v>
      </c>
      <c r="E189" s="16" t="s">
        <v>24</v>
      </c>
      <c r="F189" s="19">
        <v>24663</v>
      </c>
      <c r="G189" s="19">
        <f t="shared" si="4"/>
        <v>295956</v>
      </c>
      <c r="H189" s="20"/>
      <c r="I189" s="21"/>
      <c r="J189" s="11">
        <f t="shared" si="5"/>
        <v>0</v>
      </c>
      <c r="K189" s="12"/>
      <c r="L189" s="13"/>
      <c r="M189" s="13"/>
      <c r="N189" s="13"/>
    </row>
    <row r="190" spans="1:14" ht="18.5" x14ac:dyDescent="0.45">
      <c r="A190" s="16" t="s">
        <v>231</v>
      </c>
      <c r="B190" s="16" t="s">
        <v>232</v>
      </c>
      <c r="C190" s="17">
        <v>32739</v>
      </c>
      <c r="D190" s="18">
        <v>25</v>
      </c>
      <c r="E190" s="16" t="s">
        <v>22</v>
      </c>
      <c r="F190" s="19">
        <v>44871</v>
      </c>
      <c r="G190" s="19">
        <f t="shared" si="4"/>
        <v>538452</v>
      </c>
      <c r="H190" s="20"/>
      <c r="I190" s="21"/>
      <c r="J190" s="11">
        <f t="shared" si="5"/>
        <v>0</v>
      </c>
      <c r="K190" s="12"/>
      <c r="L190" s="13"/>
      <c r="M190" s="13"/>
      <c r="N190" s="13"/>
    </row>
    <row r="191" spans="1:14" ht="18.5" x14ac:dyDescent="0.45">
      <c r="A191" s="16" t="s">
        <v>233</v>
      </c>
      <c r="B191" s="16" t="s">
        <v>232</v>
      </c>
      <c r="C191" s="17">
        <v>34950</v>
      </c>
      <c r="D191" s="18">
        <v>19</v>
      </c>
      <c r="E191" s="16" t="s">
        <v>22</v>
      </c>
      <c r="F191" s="19">
        <v>57988</v>
      </c>
      <c r="G191" s="19">
        <f t="shared" si="4"/>
        <v>695856</v>
      </c>
      <c r="H191" s="20"/>
      <c r="I191" s="21"/>
      <c r="J191" s="11">
        <f t="shared" si="5"/>
        <v>0</v>
      </c>
      <c r="K191" s="12"/>
      <c r="L191" s="13"/>
      <c r="M191" s="13"/>
      <c r="N191" s="13"/>
    </row>
    <row r="192" spans="1:14" ht="18.5" x14ac:dyDescent="0.45">
      <c r="A192" s="16" t="s">
        <v>234</v>
      </c>
      <c r="B192" s="16" t="s">
        <v>232</v>
      </c>
      <c r="C192" s="17">
        <v>32602</v>
      </c>
      <c r="D192" s="18">
        <v>25</v>
      </c>
      <c r="E192" s="16" t="s">
        <v>22</v>
      </c>
      <c r="F192" s="19">
        <v>76518</v>
      </c>
      <c r="G192" s="19">
        <f t="shared" si="4"/>
        <v>918216</v>
      </c>
      <c r="H192" s="20"/>
      <c r="I192" s="21"/>
      <c r="J192" s="11">
        <f t="shared" si="5"/>
        <v>0</v>
      </c>
      <c r="K192" s="12"/>
      <c r="L192" s="13"/>
      <c r="M192" s="13"/>
      <c r="N192" s="13"/>
    </row>
    <row r="193" spans="1:14" ht="18.5" x14ac:dyDescent="0.45">
      <c r="A193" s="16" t="s">
        <v>235</v>
      </c>
      <c r="B193" s="16" t="s">
        <v>232</v>
      </c>
      <c r="C193" s="17">
        <v>32658</v>
      </c>
      <c r="D193" s="18">
        <v>25</v>
      </c>
      <c r="E193" s="16" t="s">
        <v>22</v>
      </c>
      <c r="F193" s="19">
        <v>31753</v>
      </c>
      <c r="G193" s="19">
        <f t="shared" si="4"/>
        <v>381036</v>
      </c>
      <c r="H193" s="20"/>
      <c r="I193" s="21"/>
      <c r="J193" s="11">
        <f t="shared" si="5"/>
        <v>0</v>
      </c>
      <c r="K193" s="12"/>
      <c r="L193" s="13"/>
      <c r="M193" s="13"/>
      <c r="N193" s="13"/>
    </row>
    <row r="194" spans="1:14" ht="18.5" x14ac:dyDescent="0.45">
      <c r="A194" s="16" t="s">
        <v>236</v>
      </c>
      <c r="B194" s="16" t="s">
        <v>232</v>
      </c>
      <c r="C194" s="17">
        <v>32944</v>
      </c>
      <c r="D194" s="18">
        <v>24</v>
      </c>
      <c r="E194" s="16" t="s">
        <v>24</v>
      </c>
      <c r="F194" s="19">
        <v>50213</v>
      </c>
      <c r="G194" s="19">
        <f t="shared" si="4"/>
        <v>602556</v>
      </c>
      <c r="H194" s="20"/>
      <c r="I194" s="21"/>
      <c r="J194" s="11">
        <f t="shared" si="5"/>
        <v>0</v>
      </c>
      <c r="K194" s="12"/>
      <c r="L194" s="13"/>
      <c r="M194" s="13"/>
      <c r="N194" s="13"/>
    </row>
    <row r="195" spans="1:14" ht="18.5" x14ac:dyDescent="0.45">
      <c r="A195" s="16" t="s">
        <v>237</v>
      </c>
      <c r="B195" s="16" t="s">
        <v>232</v>
      </c>
      <c r="C195" s="17">
        <v>34860</v>
      </c>
      <c r="D195" s="18">
        <v>19</v>
      </c>
      <c r="E195" s="16" t="s">
        <v>31</v>
      </c>
      <c r="F195" s="19">
        <v>37719</v>
      </c>
      <c r="G195" s="19">
        <f t="shared" ref="G195:G248" si="6">+F195*12</f>
        <v>452628</v>
      </c>
      <c r="H195" s="20"/>
      <c r="I195" s="21"/>
      <c r="J195" s="11">
        <f t="shared" ref="J195:J248" si="7">I195*12</f>
        <v>0</v>
      </c>
      <c r="K195" s="12"/>
      <c r="L195" s="13"/>
      <c r="M195" s="13"/>
      <c r="N195" s="13"/>
    </row>
    <row r="196" spans="1:14" ht="18.5" x14ac:dyDescent="0.45">
      <c r="A196" s="16" t="s">
        <v>238</v>
      </c>
      <c r="B196" s="16" t="s">
        <v>232</v>
      </c>
      <c r="C196" s="17">
        <v>32906</v>
      </c>
      <c r="D196" s="18">
        <v>24</v>
      </c>
      <c r="E196" s="16" t="s">
        <v>22</v>
      </c>
      <c r="F196" s="19">
        <v>32127</v>
      </c>
      <c r="G196" s="19">
        <f t="shared" si="6"/>
        <v>385524</v>
      </c>
      <c r="H196" s="20"/>
      <c r="I196" s="21"/>
      <c r="J196" s="11">
        <f t="shared" si="7"/>
        <v>0</v>
      </c>
      <c r="K196" s="12"/>
      <c r="L196" s="13"/>
      <c r="M196" s="13"/>
      <c r="N196" s="13"/>
    </row>
    <row r="197" spans="1:14" ht="18.5" x14ac:dyDescent="0.45">
      <c r="A197" s="16" t="s">
        <v>239</v>
      </c>
      <c r="B197" s="16" t="s">
        <v>232</v>
      </c>
      <c r="C197" s="17">
        <v>32323</v>
      </c>
      <c r="D197" s="18">
        <v>26</v>
      </c>
      <c r="E197" s="16" t="s">
        <v>22</v>
      </c>
      <c r="F197" s="19">
        <v>34285</v>
      </c>
      <c r="G197" s="19">
        <f t="shared" si="6"/>
        <v>411420</v>
      </c>
      <c r="H197" s="20"/>
      <c r="I197" s="21"/>
      <c r="J197" s="11">
        <f t="shared" si="7"/>
        <v>0</v>
      </c>
      <c r="K197" s="12"/>
      <c r="L197" s="13"/>
      <c r="M197" s="13"/>
      <c r="N197" s="13"/>
    </row>
    <row r="198" spans="1:14" ht="18.5" x14ac:dyDescent="0.45">
      <c r="A198" s="16" t="s">
        <v>240</v>
      </c>
      <c r="B198" s="16" t="s">
        <v>232</v>
      </c>
      <c r="C198" s="17">
        <v>34462</v>
      </c>
      <c r="D198" s="18">
        <v>20</v>
      </c>
      <c r="E198" s="16" t="s">
        <v>22</v>
      </c>
      <c r="F198" s="19">
        <v>74287</v>
      </c>
      <c r="G198" s="19">
        <f t="shared" si="6"/>
        <v>891444</v>
      </c>
      <c r="H198" s="20"/>
      <c r="I198" s="21"/>
      <c r="J198" s="11">
        <f t="shared" si="7"/>
        <v>0</v>
      </c>
      <c r="K198" s="12"/>
      <c r="L198" s="13"/>
      <c r="M198" s="13"/>
      <c r="N198" s="13"/>
    </row>
    <row r="199" spans="1:14" ht="18.5" x14ac:dyDescent="0.45">
      <c r="A199" s="16" t="s">
        <v>241</v>
      </c>
      <c r="B199" s="16" t="s">
        <v>232</v>
      </c>
      <c r="C199" s="17">
        <v>34923</v>
      </c>
      <c r="D199" s="18">
        <v>19</v>
      </c>
      <c r="E199" s="16" t="s">
        <v>27</v>
      </c>
      <c r="F199" s="19">
        <v>50154</v>
      </c>
      <c r="G199" s="19">
        <f t="shared" si="6"/>
        <v>601848</v>
      </c>
      <c r="H199" s="20"/>
      <c r="I199" s="21"/>
      <c r="J199" s="11">
        <f t="shared" si="7"/>
        <v>0</v>
      </c>
      <c r="K199" s="12"/>
      <c r="L199" s="13"/>
      <c r="M199" s="13"/>
      <c r="N199" s="13"/>
    </row>
    <row r="200" spans="1:14" ht="18.5" x14ac:dyDescent="0.45">
      <c r="A200" s="16" t="s">
        <v>242</v>
      </c>
      <c r="B200" s="16" t="s">
        <v>232</v>
      </c>
      <c r="C200" s="17">
        <v>36136</v>
      </c>
      <c r="D200" s="18">
        <v>16</v>
      </c>
      <c r="E200" s="16" t="s">
        <v>31</v>
      </c>
      <c r="F200" s="19">
        <v>48958</v>
      </c>
      <c r="G200" s="19">
        <f t="shared" si="6"/>
        <v>587496</v>
      </c>
      <c r="H200" s="20"/>
      <c r="I200" s="21"/>
      <c r="J200" s="11">
        <f t="shared" si="7"/>
        <v>0</v>
      </c>
      <c r="K200" s="12"/>
      <c r="L200" s="13"/>
      <c r="M200" s="13"/>
      <c r="N200" s="13"/>
    </row>
    <row r="201" spans="1:14" ht="18.5" x14ac:dyDescent="0.45">
      <c r="A201" s="16" t="s">
        <v>243</v>
      </c>
      <c r="B201" s="16" t="s">
        <v>232</v>
      </c>
      <c r="C201" s="17">
        <v>36847</v>
      </c>
      <c r="D201" s="18">
        <v>14</v>
      </c>
      <c r="E201" s="16" t="s">
        <v>22</v>
      </c>
      <c r="F201" s="19">
        <v>56510</v>
      </c>
      <c r="G201" s="19">
        <f t="shared" si="6"/>
        <v>678120</v>
      </c>
      <c r="H201" s="20"/>
      <c r="I201" s="21"/>
      <c r="J201" s="11">
        <f t="shared" si="7"/>
        <v>0</v>
      </c>
      <c r="K201" s="12"/>
      <c r="L201" s="13"/>
      <c r="M201" s="13"/>
      <c r="N201" s="13"/>
    </row>
    <row r="202" spans="1:14" ht="18.5" x14ac:dyDescent="0.45">
      <c r="A202" s="16" t="s">
        <v>244</v>
      </c>
      <c r="B202" s="16" t="s">
        <v>232</v>
      </c>
      <c r="C202" s="17">
        <v>38799</v>
      </c>
      <c r="D202" s="18">
        <v>8</v>
      </c>
      <c r="E202" s="16" t="s">
        <v>22</v>
      </c>
      <c r="F202" s="19">
        <v>73454</v>
      </c>
      <c r="G202" s="19">
        <f t="shared" si="6"/>
        <v>881448</v>
      </c>
      <c r="H202" s="20"/>
      <c r="I202" s="21"/>
      <c r="J202" s="11">
        <f t="shared" si="7"/>
        <v>0</v>
      </c>
      <c r="K202" s="12"/>
      <c r="L202" s="13"/>
      <c r="M202" s="13"/>
      <c r="N202" s="13"/>
    </row>
    <row r="203" spans="1:14" ht="18.5" x14ac:dyDescent="0.45">
      <c r="A203" s="16" t="s">
        <v>245</v>
      </c>
      <c r="B203" s="16" t="s">
        <v>232</v>
      </c>
      <c r="C203" s="17">
        <v>36829</v>
      </c>
      <c r="D203" s="18">
        <v>14</v>
      </c>
      <c r="E203" s="16" t="s">
        <v>24</v>
      </c>
      <c r="F203" s="19">
        <v>51715</v>
      </c>
      <c r="G203" s="19">
        <f t="shared" si="6"/>
        <v>620580</v>
      </c>
      <c r="H203" s="20"/>
      <c r="I203" s="21"/>
      <c r="J203" s="11">
        <f t="shared" si="7"/>
        <v>0</v>
      </c>
      <c r="K203" s="12"/>
      <c r="L203" s="13"/>
      <c r="M203" s="13"/>
      <c r="N203" s="13"/>
    </row>
    <row r="204" spans="1:14" ht="18.5" x14ac:dyDescent="0.45">
      <c r="A204" s="16" t="s">
        <v>246</v>
      </c>
      <c r="B204" s="16" t="s">
        <v>232</v>
      </c>
      <c r="C204" s="17">
        <v>37081</v>
      </c>
      <c r="D204" s="18">
        <v>13</v>
      </c>
      <c r="E204" s="16" t="s">
        <v>31</v>
      </c>
      <c r="F204" s="19">
        <v>72804</v>
      </c>
      <c r="G204" s="19">
        <f t="shared" si="6"/>
        <v>873648</v>
      </c>
      <c r="H204" s="20"/>
      <c r="I204" s="21"/>
      <c r="J204" s="11">
        <f t="shared" si="7"/>
        <v>0</v>
      </c>
      <c r="K204" s="12"/>
      <c r="L204" s="13"/>
      <c r="M204" s="13"/>
      <c r="N204" s="13"/>
    </row>
    <row r="205" spans="1:14" ht="18.5" x14ac:dyDescent="0.45">
      <c r="A205" s="16" t="s">
        <v>247</v>
      </c>
      <c r="B205" s="16" t="s">
        <v>232</v>
      </c>
      <c r="C205" s="17">
        <v>33854</v>
      </c>
      <c r="D205" s="18">
        <v>22</v>
      </c>
      <c r="E205" s="16" t="s">
        <v>22</v>
      </c>
      <c r="F205" s="19">
        <v>67406</v>
      </c>
      <c r="G205" s="19">
        <f t="shared" si="6"/>
        <v>808872</v>
      </c>
      <c r="H205" s="20"/>
      <c r="I205" s="21"/>
      <c r="J205" s="11">
        <f t="shared" si="7"/>
        <v>0</v>
      </c>
      <c r="K205" s="12"/>
      <c r="L205" s="13"/>
      <c r="M205" s="13"/>
      <c r="N205" s="13"/>
    </row>
    <row r="206" spans="1:14" ht="18.5" x14ac:dyDescent="0.45">
      <c r="A206" s="16" t="s">
        <v>248</v>
      </c>
      <c r="B206" s="16" t="s">
        <v>232</v>
      </c>
      <c r="C206" s="17">
        <v>33399</v>
      </c>
      <c r="D206" s="18">
        <v>23</v>
      </c>
      <c r="E206" s="16" t="s">
        <v>27</v>
      </c>
      <c r="F206" s="19">
        <v>77066</v>
      </c>
      <c r="G206" s="19">
        <f t="shared" si="6"/>
        <v>924792</v>
      </c>
      <c r="H206" s="20"/>
      <c r="I206" s="21"/>
      <c r="J206" s="11">
        <f t="shared" si="7"/>
        <v>0</v>
      </c>
      <c r="K206" s="12"/>
      <c r="L206" s="13"/>
      <c r="M206" s="13"/>
      <c r="N206" s="13"/>
    </row>
    <row r="207" spans="1:14" ht="18.5" x14ac:dyDescent="0.45">
      <c r="A207" s="16" t="s">
        <v>249</v>
      </c>
      <c r="B207" s="16" t="s">
        <v>232</v>
      </c>
      <c r="C207" s="17">
        <v>35250</v>
      </c>
      <c r="D207" s="18">
        <v>18</v>
      </c>
      <c r="E207" s="16" t="s">
        <v>24</v>
      </c>
      <c r="F207" s="19">
        <v>62096</v>
      </c>
      <c r="G207" s="19">
        <f t="shared" si="6"/>
        <v>745152</v>
      </c>
      <c r="H207" s="20"/>
      <c r="I207" s="21"/>
      <c r="J207" s="11">
        <f t="shared" si="7"/>
        <v>0</v>
      </c>
      <c r="K207" s="12"/>
      <c r="L207" s="13"/>
      <c r="M207" s="13"/>
      <c r="N207" s="13"/>
    </row>
    <row r="208" spans="1:14" ht="18.5" x14ac:dyDescent="0.45">
      <c r="A208" s="16" t="s">
        <v>250</v>
      </c>
      <c r="B208" s="16" t="s">
        <v>232</v>
      </c>
      <c r="C208" s="17">
        <v>33808</v>
      </c>
      <c r="D208" s="18">
        <v>22</v>
      </c>
      <c r="E208" s="16" t="s">
        <v>22</v>
      </c>
      <c r="F208" s="19">
        <v>39213</v>
      </c>
      <c r="G208" s="19">
        <f t="shared" si="6"/>
        <v>470556</v>
      </c>
      <c r="H208" s="20"/>
      <c r="I208" s="21"/>
      <c r="J208" s="11">
        <f t="shared" si="7"/>
        <v>0</v>
      </c>
      <c r="K208" s="12"/>
      <c r="L208" s="13"/>
      <c r="M208" s="13"/>
      <c r="N208" s="13"/>
    </row>
    <row r="209" spans="1:14" ht="18.5" x14ac:dyDescent="0.45">
      <c r="A209" s="16" t="s">
        <v>251</v>
      </c>
      <c r="B209" s="16" t="s">
        <v>232</v>
      </c>
      <c r="C209" s="17">
        <v>35124</v>
      </c>
      <c r="D209" s="18">
        <v>18</v>
      </c>
      <c r="E209" s="16" t="s">
        <v>31</v>
      </c>
      <c r="F209" s="19">
        <v>48907</v>
      </c>
      <c r="G209" s="19">
        <f t="shared" si="6"/>
        <v>586884</v>
      </c>
      <c r="H209" s="20"/>
      <c r="I209" s="21"/>
      <c r="J209" s="11">
        <f t="shared" si="7"/>
        <v>0</v>
      </c>
      <c r="K209" s="12"/>
      <c r="L209" s="13"/>
      <c r="M209" s="13"/>
      <c r="N209" s="13"/>
    </row>
    <row r="210" spans="1:14" ht="18.5" x14ac:dyDescent="0.45">
      <c r="A210" s="16" t="s">
        <v>252</v>
      </c>
      <c r="B210" s="16" t="s">
        <v>232</v>
      </c>
      <c r="C210" s="17">
        <v>35268</v>
      </c>
      <c r="D210" s="18">
        <v>18</v>
      </c>
      <c r="E210" s="16" t="s">
        <v>31</v>
      </c>
      <c r="F210" s="19">
        <v>70660</v>
      </c>
      <c r="G210" s="19">
        <f t="shared" si="6"/>
        <v>847920</v>
      </c>
      <c r="H210" s="20"/>
      <c r="I210" s="21"/>
      <c r="J210" s="11">
        <f t="shared" si="7"/>
        <v>0</v>
      </c>
      <c r="K210" s="12"/>
      <c r="L210" s="13"/>
      <c r="M210" s="13"/>
      <c r="N210" s="13"/>
    </row>
    <row r="211" spans="1:14" ht="18.5" x14ac:dyDescent="0.45">
      <c r="A211" s="16" t="s">
        <v>253</v>
      </c>
      <c r="B211" s="16" t="s">
        <v>232</v>
      </c>
      <c r="C211" s="17">
        <v>35414</v>
      </c>
      <c r="D211" s="18">
        <v>18</v>
      </c>
      <c r="E211" s="16" t="s">
        <v>22</v>
      </c>
      <c r="F211" s="19">
        <v>39786</v>
      </c>
      <c r="G211" s="19">
        <f t="shared" si="6"/>
        <v>477432</v>
      </c>
      <c r="H211" s="20"/>
      <c r="I211" s="21"/>
      <c r="J211" s="11">
        <f t="shared" si="7"/>
        <v>0</v>
      </c>
      <c r="K211" s="12"/>
      <c r="L211" s="13"/>
      <c r="M211" s="13"/>
      <c r="N211" s="13"/>
    </row>
    <row r="212" spans="1:14" ht="18.5" x14ac:dyDescent="0.45">
      <c r="A212" s="16" t="s">
        <v>254</v>
      </c>
      <c r="B212" s="16" t="s">
        <v>232</v>
      </c>
      <c r="C212" s="17">
        <v>32475</v>
      </c>
      <c r="D212" s="18">
        <v>26</v>
      </c>
      <c r="E212" s="16" t="s">
        <v>31</v>
      </c>
      <c r="F212" s="19">
        <v>54231</v>
      </c>
      <c r="G212" s="19">
        <f t="shared" si="6"/>
        <v>650772</v>
      </c>
      <c r="H212" s="20"/>
      <c r="I212" s="21"/>
      <c r="J212" s="11">
        <f t="shared" si="7"/>
        <v>0</v>
      </c>
      <c r="K212" s="12"/>
      <c r="L212" s="13"/>
      <c r="M212" s="13"/>
      <c r="N212" s="13"/>
    </row>
    <row r="213" spans="1:14" ht="18.5" x14ac:dyDescent="0.45">
      <c r="A213" s="16" t="s">
        <v>255</v>
      </c>
      <c r="B213" s="16" t="s">
        <v>232</v>
      </c>
      <c r="C213" s="17">
        <v>35344</v>
      </c>
      <c r="D213" s="18">
        <v>18</v>
      </c>
      <c r="E213" s="16" t="s">
        <v>22</v>
      </c>
      <c r="F213" s="19">
        <v>49016</v>
      </c>
      <c r="G213" s="19">
        <f t="shared" si="6"/>
        <v>588192</v>
      </c>
      <c r="H213" s="20"/>
      <c r="I213" s="21"/>
      <c r="J213" s="11">
        <f t="shared" si="7"/>
        <v>0</v>
      </c>
      <c r="K213" s="12"/>
      <c r="L213" s="13"/>
      <c r="M213" s="13"/>
      <c r="N213" s="13"/>
    </row>
    <row r="214" spans="1:14" ht="18.5" x14ac:dyDescent="0.45">
      <c r="A214" s="16" t="s">
        <v>256</v>
      </c>
      <c r="B214" s="16" t="s">
        <v>257</v>
      </c>
      <c r="C214" s="17">
        <v>38225</v>
      </c>
      <c r="D214" s="18">
        <v>10</v>
      </c>
      <c r="E214" s="16" t="s">
        <v>22</v>
      </c>
      <c r="F214" s="19">
        <v>63018</v>
      </c>
      <c r="G214" s="19">
        <f t="shared" si="6"/>
        <v>756216</v>
      </c>
      <c r="H214" s="20"/>
      <c r="I214" s="21"/>
      <c r="J214" s="11">
        <f t="shared" si="7"/>
        <v>0</v>
      </c>
      <c r="K214" s="12"/>
      <c r="L214" s="13"/>
      <c r="M214" s="13"/>
      <c r="N214" s="13"/>
    </row>
    <row r="215" spans="1:14" ht="18.5" x14ac:dyDescent="0.45">
      <c r="A215" s="16" t="s">
        <v>258</v>
      </c>
      <c r="B215" s="16" t="s">
        <v>257</v>
      </c>
      <c r="C215" s="17">
        <v>34361</v>
      </c>
      <c r="D215" s="18">
        <v>20</v>
      </c>
      <c r="E215" s="16" t="s">
        <v>22</v>
      </c>
      <c r="F215" s="19">
        <v>44665</v>
      </c>
      <c r="G215" s="19">
        <f t="shared" si="6"/>
        <v>535980</v>
      </c>
      <c r="H215" s="20"/>
      <c r="I215" s="21"/>
      <c r="J215" s="11">
        <f t="shared" si="7"/>
        <v>0</v>
      </c>
      <c r="K215" s="12"/>
      <c r="L215" s="13"/>
      <c r="M215" s="13"/>
      <c r="N215" s="13"/>
    </row>
    <row r="216" spans="1:14" ht="18.5" x14ac:dyDescent="0.45">
      <c r="A216" s="16" t="s">
        <v>259</v>
      </c>
      <c r="B216" s="16" t="s">
        <v>257</v>
      </c>
      <c r="C216" s="17">
        <v>32874</v>
      </c>
      <c r="D216" s="18">
        <v>25</v>
      </c>
      <c r="E216" s="16" t="s">
        <v>31</v>
      </c>
      <c r="F216" s="19">
        <v>50301</v>
      </c>
      <c r="G216" s="19">
        <f t="shared" si="6"/>
        <v>603612</v>
      </c>
      <c r="H216" s="20"/>
      <c r="I216" s="21"/>
      <c r="J216" s="11">
        <f t="shared" si="7"/>
        <v>0</v>
      </c>
      <c r="K216" s="12"/>
      <c r="L216" s="13"/>
      <c r="M216" s="13"/>
      <c r="N216" s="13"/>
    </row>
    <row r="217" spans="1:14" ht="18.5" x14ac:dyDescent="0.45">
      <c r="A217" s="16" t="s">
        <v>260</v>
      </c>
      <c r="B217" s="16" t="s">
        <v>257</v>
      </c>
      <c r="C217" s="17">
        <v>32560</v>
      </c>
      <c r="D217" s="18">
        <v>25</v>
      </c>
      <c r="E217" s="16" t="s">
        <v>31</v>
      </c>
      <c r="F217" s="19">
        <v>65874</v>
      </c>
      <c r="G217" s="19">
        <f t="shared" si="6"/>
        <v>790488</v>
      </c>
      <c r="H217" s="20"/>
      <c r="I217" s="21"/>
      <c r="J217" s="11">
        <f t="shared" si="7"/>
        <v>0</v>
      </c>
      <c r="K217" s="12"/>
      <c r="L217" s="13"/>
      <c r="M217" s="13"/>
      <c r="N217" s="13"/>
    </row>
    <row r="218" spans="1:14" ht="18.5" x14ac:dyDescent="0.45">
      <c r="A218" s="16" t="s">
        <v>261</v>
      </c>
      <c r="B218" s="16" t="s">
        <v>257</v>
      </c>
      <c r="C218" s="17">
        <v>35516</v>
      </c>
      <c r="D218" s="18">
        <v>17</v>
      </c>
      <c r="E218" s="16" t="s">
        <v>24</v>
      </c>
      <c r="F218" s="19">
        <v>49388</v>
      </c>
      <c r="G218" s="19">
        <f t="shared" si="6"/>
        <v>592656</v>
      </c>
      <c r="H218" s="20"/>
      <c r="I218" s="21"/>
      <c r="J218" s="11">
        <f t="shared" si="7"/>
        <v>0</v>
      </c>
      <c r="K218" s="12"/>
      <c r="L218" s="13"/>
      <c r="M218" s="13"/>
      <c r="N218" s="13"/>
    </row>
    <row r="219" spans="1:14" ht="18.5" x14ac:dyDescent="0.45">
      <c r="A219" s="16" t="s">
        <v>262</v>
      </c>
      <c r="B219" s="16" t="s">
        <v>257</v>
      </c>
      <c r="C219" s="17">
        <v>36119</v>
      </c>
      <c r="D219" s="18">
        <v>16</v>
      </c>
      <c r="E219" s="16" t="s">
        <v>31</v>
      </c>
      <c r="F219" s="19">
        <v>25186</v>
      </c>
      <c r="G219" s="19">
        <f t="shared" si="6"/>
        <v>302232</v>
      </c>
      <c r="H219" s="20"/>
      <c r="I219" s="21"/>
      <c r="J219" s="11">
        <f t="shared" si="7"/>
        <v>0</v>
      </c>
      <c r="K219" s="12"/>
      <c r="L219" s="13"/>
      <c r="M219" s="13"/>
      <c r="N219" s="13"/>
    </row>
    <row r="220" spans="1:14" ht="18.5" x14ac:dyDescent="0.45">
      <c r="A220" s="16" t="s">
        <v>263</v>
      </c>
      <c r="B220" s="16" t="s">
        <v>257</v>
      </c>
      <c r="C220" s="25">
        <v>39590</v>
      </c>
      <c r="D220" s="18">
        <v>6</v>
      </c>
      <c r="E220" s="16" t="s">
        <v>22</v>
      </c>
      <c r="F220" s="19">
        <v>43142</v>
      </c>
      <c r="G220" s="19">
        <f t="shared" si="6"/>
        <v>517704</v>
      </c>
      <c r="H220" s="20"/>
      <c r="I220" s="21"/>
      <c r="J220" s="11">
        <f t="shared" si="7"/>
        <v>0</v>
      </c>
      <c r="K220" s="12"/>
      <c r="L220" s="13"/>
      <c r="M220" s="13"/>
      <c r="N220" s="13"/>
    </row>
    <row r="221" spans="1:14" ht="18.5" x14ac:dyDescent="0.45">
      <c r="A221" s="16" t="s">
        <v>264</v>
      </c>
      <c r="B221" s="16" t="s">
        <v>257</v>
      </c>
      <c r="C221" s="17">
        <v>33011</v>
      </c>
      <c r="D221" s="18">
        <v>24</v>
      </c>
      <c r="E221" s="16" t="s">
        <v>22</v>
      </c>
      <c r="F221" s="19">
        <v>36796</v>
      </c>
      <c r="G221" s="19">
        <f t="shared" si="6"/>
        <v>441552</v>
      </c>
      <c r="H221" s="20"/>
      <c r="I221" s="21"/>
      <c r="J221" s="11">
        <f t="shared" si="7"/>
        <v>0</v>
      </c>
      <c r="K221" s="12"/>
      <c r="L221" s="13"/>
      <c r="M221" s="13"/>
      <c r="N221" s="13"/>
    </row>
    <row r="222" spans="1:14" ht="18.5" x14ac:dyDescent="0.45">
      <c r="A222" s="16" t="s">
        <v>265</v>
      </c>
      <c r="B222" s="16" t="s">
        <v>257</v>
      </c>
      <c r="C222" s="17">
        <v>38337</v>
      </c>
      <c r="D222" s="18">
        <v>10</v>
      </c>
      <c r="E222" s="16" t="s">
        <v>22</v>
      </c>
      <c r="F222" s="19">
        <v>38146</v>
      </c>
      <c r="G222" s="19">
        <f t="shared" si="6"/>
        <v>457752</v>
      </c>
      <c r="H222" s="20"/>
      <c r="I222" s="21"/>
      <c r="J222" s="11">
        <f t="shared" si="7"/>
        <v>0</v>
      </c>
      <c r="K222" s="12"/>
      <c r="L222" s="13"/>
      <c r="M222" s="13"/>
      <c r="N222" s="13"/>
    </row>
    <row r="223" spans="1:14" ht="18.5" x14ac:dyDescent="0.45">
      <c r="A223" s="16" t="s">
        <v>266</v>
      </c>
      <c r="B223" s="16" t="s">
        <v>257</v>
      </c>
      <c r="C223" s="17">
        <v>33879</v>
      </c>
      <c r="D223" s="18">
        <v>22</v>
      </c>
      <c r="E223" s="16" t="s">
        <v>27</v>
      </c>
      <c r="F223" s="19">
        <v>77519</v>
      </c>
      <c r="G223" s="19">
        <f t="shared" si="6"/>
        <v>930228</v>
      </c>
      <c r="H223" s="20"/>
      <c r="I223" s="21"/>
      <c r="J223" s="11">
        <f t="shared" si="7"/>
        <v>0</v>
      </c>
      <c r="K223" s="12"/>
      <c r="L223" s="13"/>
      <c r="M223" s="13"/>
      <c r="N223" s="13"/>
    </row>
    <row r="224" spans="1:14" ht="18.5" x14ac:dyDescent="0.45">
      <c r="A224" s="16" t="s">
        <v>267</v>
      </c>
      <c r="B224" s="16" t="s">
        <v>257</v>
      </c>
      <c r="C224" s="17">
        <v>33340</v>
      </c>
      <c r="D224" s="18">
        <v>23</v>
      </c>
      <c r="E224" s="16" t="s">
        <v>22</v>
      </c>
      <c r="F224" s="19">
        <v>48884</v>
      </c>
      <c r="G224" s="19">
        <f t="shared" si="6"/>
        <v>586608</v>
      </c>
      <c r="H224" s="20"/>
      <c r="I224" s="21"/>
      <c r="J224" s="11">
        <f t="shared" si="7"/>
        <v>0</v>
      </c>
      <c r="K224" s="12"/>
      <c r="L224" s="13"/>
      <c r="M224" s="13"/>
      <c r="N224" s="13"/>
    </row>
    <row r="225" spans="1:14" ht="18.5" x14ac:dyDescent="0.45">
      <c r="A225" s="16" t="s">
        <v>268</v>
      </c>
      <c r="B225" s="16" t="s">
        <v>257</v>
      </c>
      <c r="C225" s="17">
        <v>36010</v>
      </c>
      <c r="D225" s="18">
        <v>16</v>
      </c>
      <c r="E225" s="16" t="s">
        <v>22</v>
      </c>
      <c r="F225" s="19">
        <v>67728</v>
      </c>
      <c r="G225" s="19">
        <f t="shared" si="6"/>
        <v>812736</v>
      </c>
      <c r="H225" s="20"/>
      <c r="I225" s="21"/>
      <c r="J225" s="11">
        <f t="shared" si="7"/>
        <v>0</v>
      </c>
      <c r="K225" s="12"/>
      <c r="L225" s="13"/>
      <c r="M225" s="13"/>
      <c r="N225" s="13"/>
    </row>
    <row r="226" spans="1:14" ht="18.5" x14ac:dyDescent="0.45">
      <c r="A226" s="16" t="s">
        <v>269</v>
      </c>
      <c r="B226" s="16" t="s">
        <v>257</v>
      </c>
      <c r="C226" s="17">
        <v>33588</v>
      </c>
      <c r="D226" s="18">
        <v>23</v>
      </c>
      <c r="E226" s="16" t="s">
        <v>31</v>
      </c>
      <c r="F226" s="19">
        <v>77934</v>
      </c>
      <c r="G226" s="19">
        <f t="shared" si="6"/>
        <v>935208</v>
      </c>
      <c r="H226" s="20"/>
      <c r="I226" s="21"/>
      <c r="J226" s="11">
        <f t="shared" si="7"/>
        <v>0</v>
      </c>
      <c r="K226" s="12"/>
      <c r="L226" s="13"/>
      <c r="M226" s="13"/>
      <c r="N226" s="13"/>
    </row>
    <row r="227" spans="1:14" ht="18.5" x14ac:dyDescent="0.45">
      <c r="A227" s="16" t="s">
        <v>270</v>
      </c>
      <c r="B227" s="16" t="s">
        <v>257</v>
      </c>
      <c r="C227" s="17">
        <v>36063</v>
      </c>
      <c r="D227" s="18">
        <v>16</v>
      </c>
      <c r="E227" s="16" t="s">
        <v>22</v>
      </c>
      <c r="F227" s="19">
        <v>66857</v>
      </c>
      <c r="G227" s="19">
        <f t="shared" si="6"/>
        <v>802284</v>
      </c>
      <c r="H227" s="20"/>
      <c r="I227" s="21"/>
      <c r="J227" s="11">
        <f t="shared" si="7"/>
        <v>0</v>
      </c>
      <c r="K227" s="12"/>
      <c r="L227" s="13"/>
      <c r="M227" s="13"/>
      <c r="N227" s="13"/>
    </row>
    <row r="228" spans="1:14" ht="18.5" x14ac:dyDescent="0.45">
      <c r="A228" s="16" t="s">
        <v>271</v>
      </c>
      <c r="B228" s="16" t="s">
        <v>257</v>
      </c>
      <c r="C228" s="17">
        <v>35673</v>
      </c>
      <c r="D228" s="18">
        <v>17</v>
      </c>
      <c r="E228" s="16" t="s">
        <v>22</v>
      </c>
      <c r="F228" s="19">
        <v>74826</v>
      </c>
      <c r="G228" s="19">
        <f t="shared" si="6"/>
        <v>897912</v>
      </c>
      <c r="H228" s="20"/>
      <c r="I228" s="21"/>
      <c r="J228" s="11">
        <f t="shared" si="7"/>
        <v>0</v>
      </c>
      <c r="K228" s="12"/>
      <c r="L228" s="13"/>
      <c r="M228" s="13"/>
      <c r="N228" s="13"/>
    </row>
    <row r="229" spans="1:14" ht="18.5" x14ac:dyDescent="0.45">
      <c r="A229" s="16" t="s">
        <v>272</v>
      </c>
      <c r="B229" s="16" t="s">
        <v>257</v>
      </c>
      <c r="C229" s="17">
        <v>33194</v>
      </c>
      <c r="D229" s="18">
        <v>24</v>
      </c>
      <c r="E229" s="16" t="s">
        <v>24</v>
      </c>
      <c r="F229" s="19">
        <v>64878</v>
      </c>
      <c r="G229" s="19">
        <f t="shared" si="6"/>
        <v>778536</v>
      </c>
      <c r="H229" s="20"/>
      <c r="I229" s="21"/>
      <c r="J229" s="11">
        <f t="shared" si="7"/>
        <v>0</v>
      </c>
      <c r="K229" s="12"/>
      <c r="L229" s="13"/>
      <c r="M229" s="13"/>
      <c r="N229" s="13"/>
    </row>
    <row r="230" spans="1:14" ht="18.5" x14ac:dyDescent="0.45">
      <c r="A230" s="16" t="s">
        <v>273</v>
      </c>
      <c r="B230" s="16" t="s">
        <v>257</v>
      </c>
      <c r="C230" s="17">
        <v>32975</v>
      </c>
      <c r="D230" s="18">
        <v>24</v>
      </c>
      <c r="E230" s="16" t="s">
        <v>22</v>
      </c>
      <c r="F230" s="19">
        <v>34596</v>
      </c>
      <c r="G230" s="19">
        <f t="shared" si="6"/>
        <v>415152</v>
      </c>
      <c r="H230" s="20"/>
      <c r="I230" s="21"/>
      <c r="J230" s="11">
        <f t="shared" si="7"/>
        <v>0</v>
      </c>
      <c r="K230" s="12"/>
      <c r="L230" s="13"/>
      <c r="M230" s="13"/>
      <c r="N230" s="13"/>
    </row>
    <row r="231" spans="1:14" ht="18.5" x14ac:dyDescent="0.45">
      <c r="A231" s="16" t="s">
        <v>274</v>
      </c>
      <c r="B231" s="16" t="s">
        <v>257</v>
      </c>
      <c r="C231" s="17">
        <v>34330</v>
      </c>
      <c r="D231" s="18">
        <v>21</v>
      </c>
      <c r="E231" s="16" t="s">
        <v>22</v>
      </c>
      <c r="F231" s="19">
        <v>34790</v>
      </c>
      <c r="G231" s="19">
        <f t="shared" si="6"/>
        <v>417480</v>
      </c>
      <c r="H231" s="20"/>
      <c r="I231" s="21"/>
      <c r="J231" s="11">
        <f t="shared" si="7"/>
        <v>0</v>
      </c>
      <c r="K231" s="12"/>
      <c r="L231" s="13"/>
      <c r="M231" s="13"/>
      <c r="N231" s="13"/>
    </row>
    <row r="232" spans="1:14" ht="18.5" x14ac:dyDescent="0.45">
      <c r="A232" s="16" t="s">
        <v>275</v>
      </c>
      <c r="B232" s="16" t="s">
        <v>257</v>
      </c>
      <c r="C232" s="17">
        <v>37700</v>
      </c>
      <c r="D232" s="18">
        <v>11</v>
      </c>
      <c r="E232" s="16" t="s">
        <v>276</v>
      </c>
      <c r="F232" s="19">
        <v>28919</v>
      </c>
      <c r="G232" s="19">
        <f t="shared" si="6"/>
        <v>347028</v>
      </c>
      <c r="H232" s="20"/>
      <c r="I232" s="21"/>
      <c r="J232" s="11">
        <f t="shared" si="7"/>
        <v>0</v>
      </c>
      <c r="K232" s="12"/>
      <c r="L232" s="13"/>
      <c r="M232" s="13"/>
      <c r="N232" s="13"/>
    </row>
    <row r="233" spans="1:14" ht="18.5" x14ac:dyDescent="0.45">
      <c r="A233" s="16" t="s">
        <v>277</v>
      </c>
      <c r="B233" s="16" t="s">
        <v>257</v>
      </c>
      <c r="C233" s="17">
        <v>34630</v>
      </c>
      <c r="D233" s="18">
        <v>20</v>
      </c>
      <c r="E233" s="16" t="s">
        <v>276</v>
      </c>
      <c r="F233" s="19">
        <v>48862</v>
      </c>
      <c r="G233" s="19">
        <f t="shared" si="6"/>
        <v>586344</v>
      </c>
      <c r="H233" s="20"/>
      <c r="I233" s="21"/>
      <c r="J233" s="11">
        <f t="shared" si="7"/>
        <v>0</v>
      </c>
      <c r="K233" s="12"/>
      <c r="L233" s="13"/>
      <c r="M233" s="13"/>
      <c r="N233" s="13"/>
    </row>
    <row r="234" spans="1:14" ht="18.5" x14ac:dyDescent="0.45">
      <c r="A234" s="16" t="s">
        <v>278</v>
      </c>
      <c r="B234" s="16" t="s">
        <v>257</v>
      </c>
      <c r="C234" s="25">
        <v>39734</v>
      </c>
      <c r="D234" s="18">
        <v>6</v>
      </c>
      <c r="E234" s="16" t="s">
        <v>279</v>
      </c>
      <c r="F234" s="19">
        <v>63541</v>
      </c>
      <c r="G234" s="19">
        <f t="shared" si="6"/>
        <v>762492</v>
      </c>
      <c r="H234" s="20"/>
      <c r="I234" s="21"/>
      <c r="J234" s="11">
        <f t="shared" si="7"/>
        <v>0</v>
      </c>
      <c r="K234" s="12"/>
      <c r="L234" s="13"/>
      <c r="M234" s="13"/>
      <c r="N234" s="13"/>
    </row>
    <row r="235" spans="1:14" ht="18.5" x14ac:dyDescent="0.45">
      <c r="A235" s="16" t="s">
        <v>280</v>
      </c>
      <c r="B235" s="16" t="s">
        <v>257</v>
      </c>
      <c r="C235" s="17">
        <v>32333</v>
      </c>
      <c r="D235" s="18">
        <v>26</v>
      </c>
      <c r="E235" s="16" t="s">
        <v>279</v>
      </c>
      <c r="F235" s="19">
        <v>41592</v>
      </c>
      <c r="G235" s="19">
        <f t="shared" si="6"/>
        <v>499104</v>
      </c>
      <c r="H235" s="20"/>
      <c r="I235" s="21"/>
      <c r="J235" s="11">
        <f t="shared" si="7"/>
        <v>0</v>
      </c>
      <c r="K235" s="12"/>
      <c r="L235" s="13"/>
      <c r="M235" s="13"/>
      <c r="N235" s="13"/>
    </row>
    <row r="236" spans="1:14" ht="18.5" x14ac:dyDescent="0.45">
      <c r="A236" s="16" t="s">
        <v>281</v>
      </c>
      <c r="B236" s="16" t="s">
        <v>257</v>
      </c>
      <c r="C236" s="17">
        <v>35419</v>
      </c>
      <c r="D236" s="18">
        <v>18</v>
      </c>
      <c r="E236" s="16" t="s">
        <v>282</v>
      </c>
      <c r="F236" s="19">
        <v>76560</v>
      </c>
      <c r="G236" s="19">
        <f t="shared" si="6"/>
        <v>918720</v>
      </c>
      <c r="H236" s="20"/>
      <c r="I236" s="21"/>
      <c r="J236" s="11">
        <f t="shared" si="7"/>
        <v>0</v>
      </c>
      <c r="K236" s="12"/>
      <c r="L236" s="13"/>
      <c r="M236" s="13"/>
      <c r="N236" s="13"/>
    </row>
    <row r="237" spans="1:14" ht="18.5" x14ac:dyDescent="0.45">
      <c r="A237" s="16" t="s">
        <v>283</v>
      </c>
      <c r="B237" s="16" t="s">
        <v>257</v>
      </c>
      <c r="C237" s="17">
        <v>38495</v>
      </c>
      <c r="D237" s="18">
        <v>9</v>
      </c>
      <c r="E237" s="16" t="s">
        <v>279</v>
      </c>
      <c r="F237" s="19">
        <v>65864</v>
      </c>
      <c r="G237" s="19">
        <f t="shared" si="6"/>
        <v>790368</v>
      </c>
      <c r="H237" s="20"/>
      <c r="I237" s="21"/>
      <c r="J237" s="11">
        <f t="shared" si="7"/>
        <v>0</v>
      </c>
      <c r="K237" s="12"/>
      <c r="L237" s="13"/>
      <c r="M237" s="13"/>
      <c r="N237" s="13"/>
    </row>
    <row r="238" spans="1:14" ht="18.5" x14ac:dyDescent="0.45">
      <c r="A238" s="16" t="s">
        <v>284</v>
      </c>
      <c r="B238" s="16" t="s">
        <v>257</v>
      </c>
      <c r="C238" s="17">
        <v>38733</v>
      </c>
      <c r="D238" s="18">
        <v>8</v>
      </c>
      <c r="E238" s="16" t="s">
        <v>22</v>
      </c>
      <c r="F238" s="19">
        <v>77605</v>
      </c>
      <c r="G238" s="19">
        <f t="shared" si="6"/>
        <v>931260</v>
      </c>
      <c r="H238" s="20"/>
      <c r="I238" s="21"/>
      <c r="J238" s="11">
        <f t="shared" si="7"/>
        <v>0</v>
      </c>
      <c r="K238" s="12"/>
      <c r="L238" s="13"/>
      <c r="M238" s="13"/>
      <c r="N238" s="13"/>
    </row>
    <row r="239" spans="1:14" ht="18.5" x14ac:dyDescent="0.45">
      <c r="A239" s="16" t="s">
        <v>285</v>
      </c>
      <c r="B239" s="16" t="s">
        <v>257</v>
      </c>
      <c r="C239" s="17">
        <v>32467</v>
      </c>
      <c r="D239" s="18">
        <v>26</v>
      </c>
      <c r="E239" s="16" t="s">
        <v>31</v>
      </c>
      <c r="F239" s="19">
        <v>58563</v>
      </c>
      <c r="G239" s="19">
        <f t="shared" si="6"/>
        <v>702756</v>
      </c>
      <c r="H239" s="20"/>
      <c r="I239" s="21"/>
      <c r="J239" s="11">
        <f t="shared" si="7"/>
        <v>0</v>
      </c>
      <c r="K239" s="12"/>
      <c r="L239" s="13"/>
      <c r="M239" s="13"/>
      <c r="N239" s="13"/>
    </row>
    <row r="240" spans="1:14" ht="18.5" x14ac:dyDescent="0.45">
      <c r="A240" s="16" t="s">
        <v>286</v>
      </c>
      <c r="B240" s="16" t="s">
        <v>257</v>
      </c>
      <c r="C240" s="17">
        <v>38782</v>
      </c>
      <c r="D240" s="18">
        <v>8</v>
      </c>
      <c r="E240" s="16" t="s">
        <v>31</v>
      </c>
      <c r="F240" s="19">
        <v>38849</v>
      </c>
      <c r="G240" s="19">
        <f t="shared" si="6"/>
        <v>466188</v>
      </c>
      <c r="H240" s="20"/>
      <c r="I240" s="21"/>
      <c r="J240" s="11">
        <f t="shared" si="7"/>
        <v>0</v>
      </c>
      <c r="K240" s="12"/>
      <c r="L240" s="13"/>
      <c r="M240" s="13"/>
      <c r="N240" s="13"/>
    </row>
    <row r="241" spans="1:14" ht="18.5" x14ac:dyDescent="0.45">
      <c r="A241" s="16" t="s">
        <v>287</v>
      </c>
      <c r="B241" s="16" t="s">
        <v>257</v>
      </c>
      <c r="C241" s="17">
        <v>39691</v>
      </c>
      <c r="D241" s="18">
        <v>6</v>
      </c>
      <c r="E241" s="16" t="s">
        <v>22</v>
      </c>
      <c r="F241" s="19">
        <v>36051</v>
      </c>
      <c r="G241" s="19">
        <f t="shared" si="6"/>
        <v>432612</v>
      </c>
      <c r="H241" s="20"/>
      <c r="I241" s="21"/>
      <c r="J241" s="11">
        <f t="shared" si="7"/>
        <v>0</v>
      </c>
      <c r="K241" s="12"/>
      <c r="L241" s="13"/>
      <c r="M241" s="13"/>
      <c r="N241" s="13"/>
    </row>
    <row r="242" spans="1:14" ht="18.5" x14ac:dyDescent="0.45">
      <c r="A242" s="16" t="s">
        <v>288</v>
      </c>
      <c r="B242" s="16" t="s">
        <v>257</v>
      </c>
      <c r="C242" s="17">
        <v>34191</v>
      </c>
      <c r="D242" s="18">
        <v>21</v>
      </c>
      <c r="E242" s="16" t="s">
        <v>22</v>
      </c>
      <c r="F242" s="19">
        <v>24326</v>
      </c>
      <c r="G242" s="19">
        <f t="shared" si="6"/>
        <v>291912</v>
      </c>
      <c r="H242" s="20"/>
      <c r="I242" s="21"/>
      <c r="J242" s="11">
        <f t="shared" si="7"/>
        <v>0</v>
      </c>
      <c r="K242" s="12"/>
      <c r="L242" s="13"/>
      <c r="M242" s="13"/>
      <c r="N242" s="13"/>
    </row>
    <row r="243" spans="1:14" ht="18.5" x14ac:dyDescent="0.45">
      <c r="A243" s="16" t="s">
        <v>289</v>
      </c>
      <c r="B243" s="16" t="s">
        <v>257</v>
      </c>
      <c r="C243" s="17">
        <v>35247</v>
      </c>
      <c r="D243" s="18">
        <v>18</v>
      </c>
      <c r="E243" s="16" t="s">
        <v>31</v>
      </c>
      <c r="F243" s="19">
        <v>60087</v>
      </c>
      <c r="G243" s="19">
        <f t="shared" si="6"/>
        <v>721044</v>
      </c>
      <c r="H243" s="20"/>
      <c r="I243" s="21"/>
      <c r="J243" s="11">
        <f t="shared" si="7"/>
        <v>0</v>
      </c>
      <c r="K243" s="12"/>
      <c r="L243" s="13"/>
      <c r="M243" s="13"/>
      <c r="N243" s="13"/>
    </row>
    <row r="244" spans="1:14" ht="18.5" x14ac:dyDescent="0.45">
      <c r="A244" s="16" t="s">
        <v>290</v>
      </c>
      <c r="B244" s="16" t="s">
        <v>257</v>
      </c>
      <c r="C244" s="17">
        <v>33724</v>
      </c>
      <c r="D244" s="18">
        <v>22</v>
      </c>
      <c r="E244" s="16" t="s">
        <v>22</v>
      </c>
      <c r="F244" s="19">
        <v>48748</v>
      </c>
      <c r="G244" s="19">
        <f t="shared" si="6"/>
        <v>584976</v>
      </c>
      <c r="H244" s="20"/>
      <c r="I244" s="21"/>
      <c r="J244" s="11">
        <f t="shared" si="7"/>
        <v>0</v>
      </c>
      <c r="K244" s="12"/>
      <c r="L244" s="13"/>
      <c r="M244" s="13"/>
      <c r="N244" s="13"/>
    </row>
    <row r="245" spans="1:14" ht="18.5" x14ac:dyDescent="0.45">
      <c r="A245" s="16" t="s">
        <v>291</v>
      </c>
      <c r="B245" s="16" t="s">
        <v>292</v>
      </c>
      <c r="C245" s="17">
        <v>36045</v>
      </c>
      <c r="D245" s="18">
        <v>16</v>
      </c>
      <c r="E245" s="16" t="s">
        <v>22</v>
      </c>
      <c r="F245" s="19">
        <v>59375</v>
      </c>
      <c r="G245" s="19">
        <f t="shared" si="6"/>
        <v>712500</v>
      </c>
      <c r="H245" s="20"/>
      <c r="I245" s="21"/>
      <c r="J245" s="11">
        <f t="shared" si="7"/>
        <v>0</v>
      </c>
      <c r="K245" s="12"/>
      <c r="L245" s="13"/>
      <c r="M245" s="13"/>
      <c r="N245" s="13"/>
    </row>
    <row r="246" spans="1:14" ht="18.5" x14ac:dyDescent="0.45">
      <c r="A246" s="16" t="s">
        <v>293</v>
      </c>
      <c r="B246" s="16" t="s">
        <v>292</v>
      </c>
      <c r="C246" s="17">
        <v>32441</v>
      </c>
      <c r="D246" s="18">
        <v>26</v>
      </c>
      <c r="E246" s="16" t="s">
        <v>31</v>
      </c>
      <c r="F246" s="19">
        <v>52421</v>
      </c>
      <c r="G246" s="19">
        <f t="shared" si="6"/>
        <v>629052</v>
      </c>
      <c r="H246" s="20"/>
      <c r="I246" s="21"/>
      <c r="J246" s="11">
        <f t="shared" si="7"/>
        <v>0</v>
      </c>
      <c r="K246" s="12"/>
      <c r="L246" s="13"/>
      <c r="M246" s="13"/>
      <c r="N246" s="13"/>
    </row>
    <row r="247" spans="1:14" ht="18.5" x14ac:dyDescent="0.45">
      <c r="A247" s="16" t="s">
        <v>294</v>
      </c>
      <c r="B247" s="16" t="s">
        <v>295</v>
      </c>
      <c r="C247" s="17">
        <v>33057</v>
      </c>
      <c r="D247" s="18">
        <v>24</v>
      </c>
      <c r="E247" s="16" t="s">
        <v>31</v>
      </c>
      <c r="F247" s="19">
        <v>75170</v>
      </c>
      <c r="G247" s="19">
        <f t="shared" si="6"/>
        <v>902040</v>
      </c>
      <c r="H247" s="20"/>
      <c r="I247" s="21"/>
      <c r="J247" s="11">
        <f t="shared" si="7"/>
        <v>0</v>
      </c>
      <c r="K247" s="12"/>
      <c r="L247" s="13"/>
      <c r="M247" s="13"/>
      <c r="N247" s="13"/>
    </row>
    <row r="248" spans="1:14" ht="18.5" x14ac:dyDescent="0.45">
      <c r="A248" s="16" t="s">
        <v>296</v>
      </c>
      <c r="B248" s="16" t="s">
        <v>295</v>
      </c>
      <c r="C248" s="17">
        <v>39597</v>
      </c>
      <c r="D248" s="18">
        <v>6</v>
      </c>
      <c r="E248" s="16" t="s">
        <v>27</v>
      </c>
      <c r="F248" s="19">
        <v>41263</v>
      </c>
      <c r="G248" s="19">
        <f t="shared" si="6"/>
        <v>495156</v>
      </c>
      <c r="H248" s="20"/>
      <c r="I248" s="21"/>
      <c r="J248" s="11">
        <f t="shared" si="7"/>
        <v>0</v>
      </c>
      <c r="K248" s="12"/>
      <c r="L248" s="13"/>
      <c r="M248" s="13"/>
      <c r="N248" s="13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6FA2-7E28-4982-8E1C-68B5F43A7E18}">
  <dimension ref="A1:L10"/>
  <sheetViews>
    <sheetView zoomScaleNormal="100" workbookViewId="0"/>
  </sheetViews>
  <sheetFormatPr defaultColWidth="9" defaultRowHeight="18.5" x14ac:dyDescent="0.45"/>
  <cols>
    <col min="1" max="4" width="9" style="1"/>
    <col min="5" max="5" width="5.26953125" style="1" customWidth="1"/>
    <col min="6" max="6" width="9" style="1"/>
    <col min="7" max="11" width="13.26953125" style="1" customWidth="1"/>
    <col min="12" max="16384" width="9" style="1"/>
  </cols>
  <sheetData>
    <row r="1" spans="1:12" x14ac:dyDescent="0.45">
      <c r="A1" s="27" t="s">
        <v>297</v>
      </c>
      <c r="B1" s="28" t="s">
        <v>298</v>
      </c>
      <c r="C1" s="28" t="s">
        <v>299</v>
      </c>
      <c r="D1" s="28" t="s">
        <v>300</v>
      </c>
    </row>
    <row r="2" spans="1:12" x14ac:dyDescent="0.45">
      <c r="A2" s="27" t="s">
        <v>301</v>
      </c>
      <c r="B2" s="29">
        <v>2892</v>
      </c>
      <c r="C2" s="29">
        <v>1771</v>
      </c>
      <c r="D2" s="29">
        <v>4718</v>
      </c>
    </row>
    <row r="3" spans="1:12" x14ac:dyDescent="0.45">
      <c r="A3" s="27" t="s">
        <v>302</v>
      </c>
      <c r="B3" s="29">
        <v>4839</v>
      </c>
      <c r="C3" s="29">
        <v>1999</v>
      </c>
      <c r="D3" s="29">
        <v>1994</v>
      </c>
      <c r="F3" s="30" t="s">
        <v>303</v>
      </c>
      <c r="G3" s="30"/>
      <c r="H3" s="30"/>
      <c r="I3" s="30"/>
      <c r="J3" s="30"/>
      <c r="K3" s="30"/>
      <c r="L3" s="30"/>
    </row>
    <row r="4" spans="1:12" x14ac:dyDescent="0.45">
      <c r="A4" s="27" t="s">
        <v>304</v>
      </c>
      <c r="B4" s="29">
        <v>3221</v>
      </c>
      <c r="C4" s="29">
        <v>2438</v>
      </c>
      <c r="D4" s="29">
        <v>1108</v>
      </c>
      <c r="F4" s="2"/>
      <c r="G4" s="2"/>
      <c r="H4" s="2"/>
      <c r="I4" s="2"/>
      <c r="J4" s="2"/>
      <c r="K4" s="2"/>
      <c r="L4" s="2"/>
    </row>
    <row r="5" spans="1:12" x14ac:dyDescent="0.45">
      <c r="A5" s="27" t="s">
        <v>305</v>
      </c>
      <c r="B5" s="29">
        <v>3744</v>
      </c>
      <c r="C5" s="29">
        <v>3223</v>
      </c>
      <c r="D5" s="29">
        <v>5312</v>
      </c>
      <c r="F5" s="2"/>
      <c r="G5" s="2"/>
      <c r="H5" s="2"/>
      <c r="I5" s="2"/>
      <c r="J5" s="2"/>
      <c r="K5" s="2"/>
      <c r="L5" s="2"/>
    </row>
    <row r="6" spans="1:12" x14ac:dyDescent="0.45">
      <c r="A6" s="27" t="s">
        <v>306</v>
      </c>
      <c r="B6" s="29">
        <v>3380</v>
      </c>
      <c r="C6" s="29">
        <v>4711</v>
      </c>
      <c r="D6" s="29">
        <v>2615</v>
      </c>
      <c r="F6" s="2"/>
      <c r="G6" s="31" t="s">
        <v>307</v>
      </c>
      <c r="H6" s="31"/>
      <c r="I6" s="31"/>
      <c r="J6" s="31"/>
      <c r="K6" s="31"/>
      <c r="L6" s="2"/>
    </row>
    <row r="7" spans="1:12" ht="55.5" x14ac:dyDescent="0.45">
      <c r="A7" s="27" t="s">
        <v>308</v>
      </c>
      <c r="B7" s="29">
        <v>3154</v>
      </c>
      <c r="C7" s="29">
        <v>4895</v>
      </c>
      <c r="D7" s="29">
        <v>1607</v>
      </c>
      <c r="F7" s="2"/>
      <c r="G7" s="32" t="s">
        <v>309</v>
      </c>
      <c r="H7" s="32"/>
      <c r="I7" s="32"/>
      <c r="J7" s="32"/>
      <c r="K7" s="32" t="s">
        <v>297</v>
      </c>
      <c r="L7" s="33" t="s">
        <v>310</v>
      </c>
    </row>
    <row r="8" spans="1:12" x14ac:dyDescent="0.45">
      <c r="A8" s="27" t="s">
        <v>311</v>
      </c>
      <c r="B8" s="29">
        <v>5467</v>
      </c>
      <c r="C8" s="29">
        <v>3337</v>
      </c>
      <c r="D8" s="29">
        <v>3232</v>
      </c>
      <c r="F8" s="34" t="s">
        <v>298</v>
      </c>
      <c r="G8" s="35"/>
      <c r="H8" s="35"/>
      <c r="I8" s="35"/>
      <c r="J8" s="35"/>
      <c r="K8" s="35"/>
      <c r="L8" s="2"/>
    </row>
    <row r="9" spans="1:12" x14ac:dyDescent="0.45">
      <c r="A9" s="27" t="s">
        <v>312</v>
      </c>
      <c r="B9" s="29">
        <v>3767</v>
      </c>
      <c r="C9" s="29">
        <v>5140</v>
      </c>
      <c r="D9" s="29">
        <v>3830</v>
      </c>
      <c r="F9" s="34" t="s">
        <v>299</v>
      </c>
      <c r="G9" s="35"/>
      <c r="H9" s="35"/>
      <c r="I9" s="35"/>
      <c r="J9" s="35"/>
      <c r="K9" s="35"/>
      <c r="L9" s="2"/>
    </row>
    <row r="10" spans="1:12" x14ac:dyDescent="0.45">
      <c r="F10" s="34" t="s">
        <v>313</v>
      </c>
      <c r="G10" s="35"/>
      <c r="H10" s="35"/>
      <c r="I10" s="35"/>
      <c r="J10" s="35"/>
      <c r="K10" s="35"/>
      <c r="L10" s="2"/>
    </row>
  </sheetData>
  <mergeCells count="2">
    <mergeCell ref="F3:L3"/>
    <mergeCell ref="G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Indirect Function</vt:lpstr>
      <vt:lpstr>Vlookup Type 1 Case</vt:lpstr>
      <vt:lpstr>Lookup Function</vt:lpstr>
      <vt:lpstr>abc</vt:lpstr>
      <vt:lpstr>apps</vt:lpstr>
      <vt:lpstr>ebooks</vt:lpstr>
      <vt:lpstr>edr</vt:lpstr>
      <vt:lpstr>eds</vt:lpstr>
      <vt:lpstr>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Naresh</dc:creator>
  <cp:lastModifiedBy>Kavita Naresh</cp:lastModifiedBy>
  <dcterms:created xsi:type="dcterms:W3CDTF">2026-10-31T09:33:57Z</dcterms:created>
  <dcterms:modified xsi:type="dcterms:W3CDTF">2026-10-31T09:36:30Z</dcterms:modified>
</cp:coreProperties>
</file>