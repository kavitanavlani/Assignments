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KILL_TRAINING_2026\"/>
    </mc:Choice>
  </mc:AlternateContent>
  <xr:revisionPtr revIDLastSave="0" documentId="8_{57BC62C6-2123-4B3E-80EE-36602472C109}" xr6:coauthVersionLast="47" xr6:coauthVersionMax="47" xr10:uidLastSave="{00000000-0000-0000-0000-000000000000}"/>
  <bookViews>
    <workbookView xWindow="-110" yWindow="-110" windowWidth="19420" windowHeight="10300" activeTab="1" xr2:uid="{C2A9B1DC-3524-4FB1-AB2B-348237CC343D}"/>
  </bookViews>
  <sheets>
    <sheet name="CASE_1.2" sheetId="1" r:id="rId1"/>
    <sheet name="CASE_1.1" sheetId="2" r:id="rId2"/>
    <sheet name="Hlookup" sheetId="3" r:id="rId3"/>
  </sheets>
  <externalReferences>
    <externalReference r:id="rId4"/>
  </externalReferences>
  <definedNames>
    <definedName name="i">'CASE_1.1'!$Q$2</definedName>
    <definedName name="my_headings">'[1]CASE_1.1'!$A$1:$F$1</definedName>
    <definedName name="My_tbl">'[1]CASE_1.1'!$A$1:$F$28</definedName>
    <definedName name="tbl_1" localSheetId="1">'[1]CASE_1.2'!$G$3:$H$9</definedName>
    <definedName name="tbl_1" localSheetId="2">'[1]CASE_1.2'!$G$3:$H$9</definedName>
    <definedName name="tbl_1">'CASE_1.2'!$G$3:$H$9</definedName>
    <definedName name="tbl_2" localSheetId="1">'[1]CASE_1.2'!$J$2:$K$8</definedName>
    <definedName name="tbl_2" localSheetId="2">'[1]CASE_1.2'!$J$2:$K$8</definedName>
    <definedName name="tbl_2">'CASE_1.2'!$J$2:$K$8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" i="3" l="1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49" i="2"/>
  <c r="D39" i="2"/>
  <c r="C39" i="2"/>
  <c r="D38" i="2"/>
  <c r="C38" i="2"/>
  <c r="D37" i="2"/>
  <c r="C37" i="2"/>
  <c r="D36" i="2"/>
  <c r="C36" i="2"/>
  <c r="D35" i="2"/>
  <c r="C35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AF15" i="2"/>
  <c r="F15" i="2"/>
  <c r="F14" i="2"/>
  <c r="F13" i="2"/>
  <c r="F12" i="2"/>
  <c r="I11" i="2" a="1"/>
  <c r="F11" i="2"/>
  <c r="F10" i="2"/>
  <c r="AF9" i="2"/>
  <c r="R9" i="2"/>
  <c r="F9" i="2"/>
  <c r="R8" i="2"/>
  <c r="J8" i="2"/>
  <c r="F8" i="2"/>
  <c r="R7" i="2"/>
  <c r="J7" i="2"/>
  <c r="F7" i="2"/>
  <c r="R6" i="2"/>
  <c r="F6" i="2"/>
  <c r="R5" i="2"/>
  <c r="F5" i="2"/>
  <c r="F4" i="2"/>
  <c r="F3" i="2"/>
  <c r="J2" i="2"/>
  <c r="F2" i="2"/>
  <c r="E12" i="1"/>
  <c r="E11" i="1"/>
  <c r="E10" i="1"/>
  <c r="E9" i="1"/>
  <c r="E8" i="1"/>
  <c r="E7" i="1"/>
  <c r="E6" i="1"/>
  <c r="E5" i="1"/>
  <c r="G4" i="1"/>
  <c r="G5" i="1" s="1"/>
  <c r="E4" i="1"/>
  <c r="E3" i="1"/>
  <c r="E2" i="1"/>
  <c r="AG15" i="2" l="1"/>
  <c r="O37" i="2"/>
  <c r="M36" i="2"/>
  <c r="M35" i="2"/>
  <c r="N34" i="2"/>
  <c r="K34" i="2"/>
  <c r="N33" i="2"/>
  <c r="I33" i="2"/>
  <c r="J32" i="2"/>
  <c r="M30" i="2"/>
  <c r="L28" i="2"/>
  <c r="K28" i="2"/>
  <c r="N26" i="2"/>
  <c r="M26" i="2"/>
  <c r="N23" i="2"/>
  <c r="M20" i="2"/>
  <c r="J20" i="2"/>
  <c r="L18" i="2"/>
  <c r="K18" i="2"/>
  <c r="J18" i="2"/>
  <c r="N17" i="2"/>
  <c r="O16" i="2"/>
  <c r="J16" i="2"/>
  <c r="N15" i="2"/>
  <c r="O14" i="2"/>
  <c r="K13" i="2"/>
  <c r="K12" i="2"/>
  <c r="I38" i="2"/>
  <c r="N36" i="2"/>
  <c r="J36" i="2"/>
  <c r="I36" i="2"/>
  <c r="J35" i="2"/>
  <c r="O34" i="2"/>
  <c r="M34" i="2"/>
  <c r="I34" i="2"/>
  <c r="O33" i="2"/>
  <c r="O32" i="2"/>
  <c r="N32" i="2"/>
  <c r="M32" i="2"/>
  <c r="I32" i="2"/>
  <c r="N31" i="2"/>
  <c r="M31" i="2"/>
  <c r="K31" i="2"/>
  <c r="I31" i="2"/>
  <c r="O30" i="2"/>
  <c r="L30" i="2"/>
  <c r="J30" i="2"/>
  <c r="O29" i="2"/>
  <c r="M29" i="2"/>
  <c r="L29" i="2"/>
  <c r="K29" i="2"/>
  <c r="J29" i="2"/>
  <c r="I29" i="2"/>
  <c r="J28" i="2"/>
  <c r="I28" i="2"/>
  <c r="O27" i="2"/>
  <c r="N27" i="2"/>
  <c r="M27" i="2"/>
  <c r="L27" i="2"/>
  <c r="J27" i="2"/>
  <c r="L26" i="2"/>
  <c r="K26" i="2"/>
  <c r="J26" i="2"/>
  <c r="O25" i="2"/>
  <c r="N25" i="2"/>
  <c r="L25" i="2"/>
  <c r="K25" i="2"/>
  <c r="O24" i="2"/>
  <c r="M24" i="2"/>
  <c r="I24" i="2"/>
  <c r="O23" i="2"/>
  <c r="M23" i="2"/>
  <c r="L23" i="2"/>
  <c r="I23" i="2"/>
  <c r="O22" i="2"/>
  <c r="I22" i="2"/>
  <c r="O21" i="2"/>
  <c r="N21" i="2"/>
  <c r="L21" i="2"/>
  <c r="I20" i="2"/>
  <c r="N19" i="2"/>
  <c r="I19" i="2"/>
  <c r="O18" i="2"/>
  <c r="M18" i="2"/>
  <c r="I18" i="2"/>
  <c r="O17" i="2"/>
  <c r="N16" i="2"/>
  <c r="M16" i="2"/>
  <c r="K16" i="2"/>
  <c r="I16" i="2"/>
  <c r="J15" i="2"/>
  <c r="N14" i="2"/>
  <c r="L14" i="2"/>
  <c r="K14" i="2"/>
  <c r="I14" i="2"/>
  <c r="O13" i="2"/>
  <c r="J13" i="2"/>
  <c r="N12" i="2"/>
  <c r="I12" i="2"/>
  <c r="M11" i="2"/>
  <c r="K11" i="2"/>
  <c r="J11" i="2"/>
  <c r="I11" i="2"/>
  <c r="N38" i="2"/>
  <c r="L37" i="2"/>
  <c r="K37" i="2"/>
  <c r="L36" i="2"/>
  <c r="K36" i="2"/>
  <c r="N35" i="2"/>
  <c r="L35" i="2"/>
  <c r="J33" i="2"/>
  <c r="K32" i="2"/>
  <c r="N28" i="2"/>
  <c r="M28" i="2"/>
  <c r="K27" i="2"/>
  <c r="O26" i="2"/>
  <c r="J25" i="2"/>
  <c r="I25" i="2"/>
  <c r="N24" i="2"/>
  <c r="J24" i="2"/>
  <c r="L22" i="2"/>
  <c r="M21" i="2"/>
  <c r="J21" i="2"/>
  <c r="K20" i="2"/>
  <c r="O19" i="2"/>
  <c r="J19" i="2"/>
  <c r="M17" i="2"/>
  <c r="K17" i="2"/>
  <c r="I17" i="2"/>
  <c r="O15" i="2"/>
  <c r="M15" i="2"/>
  <c r="L15" i="2"/>
  <c r="N13" i="2"/>
  <c r="O12" i="2"/>
  <c r="L11" i="2"/>
  <c r="O38" i="2"/>
  <c r="K38" i="2"/>
  <c r="N37" i="2"/>
  <c r="J37" i="2"/>
  <c r="O36" i="2"/>
  <c r="O35" i="2"/>
  <c r="K35" i="2"/>
  <c r="I35" i="2"/>
  <c r="L34" i="2"/>
  <c r="M33" i="2"/>
  <c r="K33" i="2"/>
  <c r="L32" i="2"/>
  <c r="O31" i="2"/>
  <c r="L31" i="2"/>
  <c r="I27" i="2"/>
  <c r="M25" i="2"/>
  <c r="K24" i="2"/>
  <c r="K23" i="2"/>
  <c r="M22" i="2"/>
  <c r="K22" i="2"/>
  <c r="J22" i="2"/>
  <c r="O20" i="2"/>
  <c r="M19" i="2"/>
  <c r="K19" i="2"/>
  <c r="N18" i="2"/>
  <c r="K15" i="2"/>
  <c r="I15" i="2"/>
  <c r="M14" i="2"/>
  <c r="J14" i="2"/>
  <c r="M13" i="2"/>
  <c r="L13" i="2"/>
  <c r="J12" i="2"/>
  <c r="N11" i="2"/>
  <c r="L38" i="2"/>
  <c r="M38" i="2"/>
  <c r="J38" i="2"/>
  <c r="M37" i="2"/>
  <c r="I37" i="2"/>
  <c r="J34" i="2"/>
  <c r="L33" i="2"/>
  <c r="J31" i="2"/>
  <c r="N30" i="2"/>
  <c r="K30" i="2"/>
  <c r="I30" i="2"/>
  <c r="N29" i="2"/>
  <c r="O28" i="2"/>
  <c r="I26" i="2"/>
  <c r="L24" i="2"/>
  <c r="J23" i="2"/>
  <c r="N22" i="2"/>
  <c r="K21" i="2"/>
  <c r="I21" i="2"/>
  <c r="N20" i="2"/>
  <c r="L20" i="2"/>
  <c r="L19" i="2"/>
  <c r="L17" i="2"/>
  <c r="J17" i="2"/>
  <c r="L16" i="2"/>
  <c r="I13" i="2"/>
  <c r="M12" i="2"/>
  <c r="L12" i="2"/>
  <c r="O11" i="2"/>
  <c r="AF11" i="2"/>
  <c r="AF12" i="2" s="1"/>
  <c r="AG9" i="2"/>
  <c r="AH15" i="2" l="1"/>
  <c r="AG12" i="2"/>
  <c r="AH9" i="2"/>
  <c r="AG11" i="2"/>
  <c r="AI15" i="2" l="1"/>
  <c r="AH11" i="2"/>
  <c r="AH12" i="2" s="1"/>
  <c r="AI9" i="2"/>
  <c r="AJ15" i="2" l="1"/>
  <c r="AI11" i="2"/>
  <c r="AJ9" i="2"/>
  <c r="AI12" i="2"/>
  <c r="AK15" i="2" l="1"/>
  <c r="AK9" i="2"/>
  <c r="AJ11" i="2"/>
  <c r="AJ12" i="2" s="1"/>
  <c r="AK11" i="2" l="1"/>
  <c r="AK12" i="2"/>
  <c r="AI17" i="2" l="1"/>
  <c r="AI18" i="2"/>
  <c r="AG18" i="2"/>
  <c r="AG17" i="2"/>
  <c r="AJ17" i="2"/>
  <c r="AJ18" i="2"/>
  <c r="AK17" i="2"/>
  <c r="AK18" i="2"/>
  <c r="AF18" i="2"/>
  <c r="AF17" i="2"/>
  <c r="AH17" i="2"/>
  <c r="AH18" i="2"/>
</calcChain>
</file>

<file path=xl/sharedStrings.xml><?xml version="1.0" encoding="utf-8"?>
<sst xmlns="http://schemas.openxmlformats.org/spreadsheetml/2006/main" count="130" uniqueCount="69">
  <si>
    <t>Sales Rep</t>
  </si>
  <si>
    <t>Years</t>
  </si>
  <si>
    <t>Sales</t>
  </si>
  <si>
    <t>Comm.
 Rate</t>
  </si>
  <si>
    <t>Commission</t>
  </si>
  <si>
    <t>&lt;=3 Years Tenure</t>
  </si>
  <si>
    <t>3+ Years Tenure</t>
  </si>
  <si>
    <t>Benson</t>
  </si>
  <si>
    <t>Amt Sold</t>
  </si>
  <si>
    <t>Rate</t>
  </si>
  <si>
    <t>Davidson</t>
  </si>
  <si>
    <t>Ellison</t>
  </si>
  <si>
    <t>Gomez</t>
  </si>
  <si>
    <t>Hernandez</t>
  </si>
  <si>
    <t>Kelly</t>
  </si>
  <si>
    <t>Martin</t>
  </si>
  <si>
    <t>Oswald</t>
  </si>
  <si>
    <t>Reginald</t>
  </si>
  <si>
    <t>Veras</t>
  </si>
  <si>
    <t>Wilmington</t>
  </si>
  <si>
    <t>File Number</t>
  </si>
  <si>
    <t>Description</t>
  </si>
  <si>
    <t>gst Audit</t>
  </si>
  <si>
    <t>Tax Audit</t>
  </si>
  <si>
    <t>Return Filing</t>
  </si>
  <si>
    <t>Total</t>
  </si>
  <si>
    <t>JAGDAMBA STEELS</t>
  </si>
  <si>
    <t>A</t>
  </si>
  <si>
    <t>GAJJAN ASSOCIATES</t>
  </si>
  <si>
    <t>array</t>
  </si>
  <si>
    <t>collection of cell</t>
  </si>
  <si>
    <t>GAYATRI ENTERPRISE</t>
  </si>
  <si>
    <t>=vlookup</t>
  </si>
  <si>
    <t>GM POLYMERS</t>
  </si>
  <si>
    <t>=hlookup</t>
  </si>
  <si>
    <t>MAHIPAL TRADERS</t>
  </si>
  <si>
    <t>=match</t>
  </si>
  <si>
    <t>MAITRI GASSES</t>
  </si>
  <si>
    <t>=vlookup&amp; match</t>
  </si>
  <si>
    <t>MANGLAM FASHIONS</t>
  </si>
  <si>
    <t>Gst Audit</t>
  </si>
  <si>
    <t>=index</t>
  </si>
  <si>
    <t>=index &amp; match</t>
  </si>
  <si>
    <t>METRO POLYMERS</t>
  </si>
  <si>
    <t>MOHIN DRESSES</t>
  </si>
  <si>
    <t>SAHIL ENTERPRISES</t>
  </si>
  <si>
    <t>Extract The column Number</t>
  </si>
  <si>
    <t>SHYAM TRADING</t>
  </si>
  <si>
    <t>VIBHU ENTERPRISES</t>
  </si>
  <si>
    <t>SATYAM TRADERS</t>
  </si>
  <si>
    <t>GEMINI CONSULTANTS</t>
  </si>
  <si>
    <t>BIOTECH POLYMERS</t>
  </si>
  <si>
    <t>TIRUPATI FERTLIZERS</t>
  </si>
  <si>
    <t>BRILLIANT LAMINOSYS</t>
  </si>
  <si>
    <t>GO WORLD TECH PVT LTD</t>
  </si>
  <si>
    <t>SOHIN CHEMICALS</t>
  </si>
  <si>
    <t>URMI CHEMICALS</t>
  </si>
  <si>
    <t xml:space="preserve">GANDHI CHEMICALS   </t>
  </si>
  <si>
    <t>BANG DATA FORMS</t>
  </si>
  <si>
    <t>SURAJ EXPORTS</t>
  </si>
  <si>
    <t>VINOD ENTERPISES</t>
  </si>
  <si>
    <t>ALFA TRADING CO</t>
  </si>
  <si>
    <t>SUNRISE TRADERS</t>
  </si>
  <si>
    <t>index</t>
  </si>
  <si>
    <t>table row num,column number</t>
  </si>
  <si>
    <t>File No</t>
  </si>
  <si>
    <t>MARVEL ENTERPRISES</t>
  </si>
  <si>
    <t>GANDHI CHEMICALS</t>
  </si>
  <si>
    <t>Vat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</si>
</sst>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3"/>
      </patternFill>
    </fill>
    <fill>
      <patternFill patternType="solid">
        <fgColor theme="0" tint="-0.249977111117893"/>
        <bgColor indexed="63"/>
      </patternFill>
    </fill>
    <fill>
      <patternFill patternType="solid">
        <fgColor theme="0" tint="-4.9989318521683403E-2"/>
        <bgColor indexed="62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0" xfId="0" applyFont="1" applyFill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10" fontId="3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3" fontId="3" fillId="4" borderId="1" xfId="0" applyNumberFormat="1" applyFont="1" applyFill="1" applyBorder="1"/>
    <xf numFmtId="10" fontId="3" fillId="4" borderId="1" xfId="1" applyNumberFormat="1" applyFont="1" applyFill="1" applyBorder="1"/>
    <xf numFmtId="3" fontId="3" fillId="0" borderId="0" xfId="0" applyNumberFormat="1" applyFont="1"/>
    <xf numFmtId="0" fontId="5" fillId="0" borderId="2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/>
    <xf numFmtId="0" fontId="5" fillId="0" borderId="0" xfId="2" quotePrefix="1" applyFont="1" applyAlignment="1">
      <alignment horizontal="center"/>
    </xf>
    <xf numFmtId="0" fontId="5" fillId="0" borderId="2" xfId="2" applyFont="1" applyBorder="1"/>
    <xf numFmtId="0" fontId="5" fillId="0" borderId="0" xfId="2" quotePrefix="1" applyFont="1"/>
    <xf numFmtId="0" fontId="5" fillId="0" borderId="2" xfId="2" applyFont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0" fontId="3" fillId="0" borderId="0" xfId="2" applyFont="1" applyAlignment="1">
      <alignment horizontal="center"/>
    </xf>
    <xf numFmtId="0" fontId="3" fillId="0" borderId="2" xfId="2" applyFont="1" applyBorder="1"/>
    <xf numFmtId="0" fontId="1" fillId="0" borderId="0" xfId="2"/>
  </cellXfs>
  <cellStyles count="3">
    <cellStyle name="Normal" xfId="0" builtinId="0"/>
    <cellStyle name="Normal 2 2" xfId="2" xr:uid="{9A25DE1D-6479-4A85-AE67-69F9FB6A57D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kavit/Downloads/1.Lookup%20Exer%20.xlsx" TargetMode="External"/><Relationship Id="rId2" Type="http://schemas.openxmlformats.org/officeDocument/2006/relationships/externalLinkPath" Target="file:///C:\Users\kavit\Downloads\1.Lookup%20Exer%20.xlsx" TargetMode="External"/><Relationship Id="rId1" Type="http://schemas.openxmlformats.org/officeDocument/2006/relationships/externalLinkPath" Target="/Users/kavit/Downloads/1.Lookup%20Exer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Sheet2"/>
      <sheetName val="CASE_1.1"/>
      <sheetName val="Sheet6"/>
      <sheetName val="Sheet5"/>
      <sheetName val="Sheet4"/>
      <sheetName val="Sheet3"/>
      <sheetName val="CASE_1.2"/>
      <sheetName val="V_lookup"/>
      <sheetName val="Vlookup-2"/>
      <sheetName val="Hlookup"/>
      <sheetName val="Indirect Function"/>
      <sheetName val="Vlookup Type 1 Case"/>
      <sheetName val="Lookup Function"/>
      <sheetName val="Sheet1"/>
    </sheetNames>
    <sheetDataSet>
      <sheetData sheetId="0"/>
      <sheetData sheetId="1"/>
      <sheetData sheetId="2">
        <row r="1">
          <cell r="A1" t="str">
            <v>File Number</v>
          </cell>
          <cell r="B1" t="str">
            <v>Description</v>
          </cell>
          <cell r="C1" t="str">
            <v>gst Audit</v>
          </cell>
          <cell r="D1" t="str">
            <v>Tax Audit</v>
          </cell>
          <cell r="E1" t="str">
            <v>Return Filing</v>
          </cell>
          <cell r="F1" t="str">
            <v>Total</v>
          </cell>
        </row>
        <row r="2">
          <cell r="A2">
            <v>1001</v>
          </cell>
          <cell r="B2" t="str">
            <v>JAGDAMBA STEELS</v>
          </cell>
          <cell r="C2">
            <v>1315</v>
          </cell>
          <cell r="D2">
            <v>3393</v>
          </cell>
          <cell r="E2">
            <v>1445</v>
          </cell>
          <cell r="F2">
            <v>6153</v>
          </cell>
        </row>
        <row r="3">
          <cell r="A3">
            <v>1002</v>
          </cell>
          <cell r="B3" t="str">
            <v>GAJJAN ASSOCIATES</v>
          </cell>
          <cell r="C3">
            <v>9862</v>
          </cell>
          <cell r="D3">
            <v>9534</v>
          </cell>
          <cell r="E3">
            <v>8097</v>
          </cell>
          <cell r="F3">
            <v>27493</v>
          </cell>
        </row>
        <row r="4">
          <cell r="A4">
            <v>1003</v>
          </cell>
          <cell r="B4" t="str">
            <v>GAYATRI ENTERPRISE</v>
          </cell>
          <cell r="C4">
            <v>6761</v>
          </cell>
          <cell r="D4">
            <v>5856</v>
          </cell>
          <cell r="E4">
            <v>1550</v>
          </cell>
          <cell r="F4">
            <v>14167</v>
          </cell>
        </row>
        <row r="5">
          <cell r="A5">
            <v>1004</v>
          </cell>
          <cell r="B5" t="str">
            <v>GM POLYMERS</v>
          </cell>
          <cell r="C5">
            <v>8320</v>
          </cell>
          <cell r="D5">
            <v>6745</v>
          </cell>
          <cell r="E5">
            <v>2875</v>
          </cell>
          <cell r="F5">
            <v>17940</v>
          </cell>
        </row>
        <row r="6">
          <cell r="A6">
            <v>1005</v>
          </cell>
          <cell r="B6" t="str">
            <v>MAHIPAL TRADERS</v>
          </cell>
          <cell r="C6">
            <v>2399</v>
          </cell>
          <cell r="D6">
            <v>3606</v>
          </cell>
          <cell r="E6">
            <v>2764</v>
          </cell>
          <cell r="F6">
            <v>8769</v>
          </cell>
        </row>
        <row r="7">
          <cell r="A7">
            <v>1001</v>
          </cell>
          <cell r="B7" t="str">
            <v>MAITRI GASSES</v>
          </cell>
          <cell r="C7">
            <v>5617</v>
          </cell>
          <cell r="D7">
            <v>9253</v>
          </cell>
          <cell r="E7">
            <v>5155</v>
          </cell>
          <cell r="F7">
            <v>20025</v>
          </cell>
        </row>
        <row r="8">
          <cell r="A8">
            <v>1007</v>
          </cell>
          <cell r="B8" t="str">
            <v>MANGLAM FASHIONS</v>
          </cell>
          <cell r="C8">
            <v>2594</v>
          </cell>
          <cell r="D8">
            <v>2876</v>
          </cell>
          <cell r="E8">
            <v>8858</v>
          </cell>
          <cell r="F8">
            <v>14328</v>
          </cell>
        </row>
        <row r="9">
          <cell r="A9">
            <v>1008</v>
          </cell>
          <cell r="B9" t="str">
            <v>GAJJAN ASSOCIATES</v>
          </cell>
          <cell r="C9">
            <v>8378</v>
          </cell>
          <cell r="D9">
            <v>6929</v>
          </cell>
          <cell r="E9">
            <v>4496</v>
          </cell>
          <cell r="F9">
            <v>19803</v>
          </cell>
        </row>
        <row r="10">
          <cell r="A10">
            <v>1009</v>
          </cell>
          <cell r="B10" t="str">
            <v>METRO POLYMERS</v>
          </cell>
          <cell r="C10">
            <v>4137</v>
          </cell>
          <cell r="D10">
            <v>4122</v>
          </cell>
          <cell r="E10">
            <v>4106</v>
          </cell>
          <cell r="F10">
            <v>12365</v>
          </cell>
        </row>
        <row r="11">
          <cell r="A11">
            <v>1010</v>
          </cell>
          <cell r="B11" t="str">
            <v>MOHIN DRESSES</v>
          </cell>
          <cell r="C11">
            <v>5510</v>
          </cell>
          <cell r="D11">
            <v>9658</v>
          </cell>
          <cell r="E11">
            <v>1930</v>
          </cell>
          <cell r="F11">
            <v>17098</v>
          </cell>
        </row>
        <row r="12">
          <cell r="A12">
            <v>1011</v>
          </cell>
          <cell r="B12" t="str">
            <v>SAHIL ENTERPRISES</v>
          </cell>
          <cell r="C12">
            <v>4270</v>
          </cell>
          <cell r="D12">
            <v>7448</v>
          </cell>
          <cell r="E12">
            <v>3943</v>
          </cell>
          <cell r="F12">
            <v>15661</v>
          </cell>
        </row>
        <row r="13">
          <cell r="A13">
            <v>1012</v>
          </cell>
          <cell r="B13" t="str">
            <v>SHYAM TRADING</v>
          </cell>
          <cell r="C13">
            <v>5178</v>
          </cell>
          <cell r="D13">
            <v>8814</v>
          </cell>
          <cell r="E13">
            <v>3739</v>
          </cell>
          <cell r="F13">
            <v>17731</v>
          </cell>
        </row>
        <row r="14">
          <cell r="A14">
            <v>1013</v>
          </cell>
          <cell r="B14" t="str">
            <v>VIBHU ENTERPRISES</v>
          </cell>
          <cell r="C14">
            <v>6753</v>
          </cell>
          <cell r="D14">
            <v>6821</v>
          </cell>
          <cell r="E14">
            <v>7590</v>
          </cell>
          <cell r="F14">
            <v>21164</v>
          </cell>
        </row>
        <row r="15">
          <cell r="A15">
            <v>1014</v>
          </cell>
          <cell r="B15" t="str">
            <v>SATYAM TRADERS</v>
          </cell>
          <cell r="C15">
            <v>4792</v>
          </cell>
          <cell r="D15">
            <v>8089</v>
          </cell>
          <cell r="E15">
            <v>5261</v>
          </cell>
          <cell r="F15">
            <v>18142</v>
          </cell>
        </row>
        <row r="16">
          <cell r="A16">
            <v>1015</v>
          </cell>
          <cell r="B16" t="str">
            <v>GEMINI CONSULTANTS</v>
          </cell>
          <cell r="C16">
            <v>3409</v>
          </cell>
          <cell r="D16">
            <v>1665</v>
          </cell>
          <cell r="E16">
            <v>6702</v>
          </cell>
          <cell r="F16">
            <v>11776</v>
          </cell>
        </row>
        <row r="17">
          <cell r="A17">
            <v>1016</v>
          </cell>
          <cell r="B17" t="str">
            <v>BIOTECH POLYMERS</v>
          </cell>
          <cell r="C17">
            <v>9735</v>
          </cell>
          <cell r="D17">
            <v>1736</v>
          </cell>
          <cell r="E17">
            <v>5216</v>
          </cell>
          <cell r="F17">
            <v>16687</v>
          </cell>
        </row>
        <row r="18">
          <cell r="A18">
            <v>1017</v>
          </cell>
          <cell r="B18" t="str">
            <v>TIRUPATI FERTLIZERS</v>
          </cell>
          <cell r="C18">
            <v>4346</v>
          </cell>
          <cell r="D18">
            <v>5733</v>
          </cell>
          <cell r="E18">
            <v>2591</v>
          </cell>
          <cell r="F18">
            <v>12670</v>
          </cell>
        </row>
        <row r="19">
          <cell r="A19">
            <v>1018</v>
          </cell>
          <cell r="B19" t="str">
            <v>BRILLIANT LAMINOSYS</v>
          </cell>
          <cell r="C19">
            <v>8507</v>
          </cell>
          <cell r="D19">
            <v>1608</v>
          </cell>
          <cell r="E19">
            <v>1822</v>
          </cell>
          <cell r="F19">
            <v>11937</v>
          </cell>
        </row>
        <row r="20">
          <cell r="A20">
            <v>1019</v>
          </cell>
          <cell r="B20" t="str">
            <v>GO WORLD TECH PVT LTD</v>
          </cell>
          <cell r="C20">
            <v>2528</v>
          </cell>
          <cell r="D20">
            <v>6598</v>
          </cell>
          <cell r="E20">
            <v>3799</v>
          </cell>
          <cell r="F20">
            <v>12925</v>
          </cell>
        </row>
        <row r="21">
          <cell r="A21">
            <v>1020</v>
          </cell>
          <cell r="B21" t="str">
            <v>SOHIN CHEMICALS</v>
          </cell>
          <cell r="C21">
            <v>3910</v>
          </cell>
          <cell r="D21">
            <v>5181</v>
          </cell>
          <cell r="E21">
            <v>3119</v>
          </cell>
          <cell r="F21">
            <v>12210</v>
          </cell>
        </row>
        <row r="22">
          <cell r="A22">
            <v>1021</v>
          </cell>
          <cell r="B22" t="str">
            <v>URMI CHEMICALS</v>
          </cell>
          <cell r="C22">
            <v>2552</v>
          </cell>
          <cell r="D22">
            <v>7592</v>
          </cell>
          <cell r="E22">
            <v>2315</v>
          </cell>
          <cell r="F22">
            <v>12459</v>
          </cell>
        </row>
        <row r="23">
          <cell r="A23">
            <v>1022</v>
          </cell>
          <cell r="B23" t="str">
            <v xml:space="preserve">GANDHI CHEMICALS   </v>
          </cell>
          <cell r="C23">
            <v>3075</v>
          </cell>
          <cell r="D23">
            <v>6067</v>
          </cell>
          <cell r="E23">
            <v>9122</v>
          </cell>
          <cell r="F23">
            <v>18264</v>
          </cell>
        </row>
        <row r="24">
          <cell r="A24">
            <v>1023</v>
          </cell>
          <cell r="B24" t="str">
            <v>BANG DATA FORMS</v>
          </cell>
          <cell r="C24">
            <v>7683</v>
          </cell>
          <cell r="D24">
            <v>4418</v>
          </cell>
          <cell r="E24">
            <v>1160</v>
          </cell>
          <cell r="F24">
            <v>13261</v>
          </cell>
        </row>
        <row r="25">
          <cell r="A25">
            <v>1024</v>
          </cell>
          <cell r="B25" t="str">
            <v>SURAJ EXPORTS</v>
          </cell>
          <cell r="C25">
            <v>3847</v>
          </cell>
          <cell r="D25">
            <v>3476</v>
          </cell>
          <cell r="E25">
            <v>2927</v>
          </cell>
          <cell r="F25">
            <v>10250</v>
          </cell>
        </row>
        <row r="26">
          <cell r="A26">
            <v>1025</v>
          </cell>
          <cell r="B26" t="str">
            <v>VINOD ENTERPISES</v>
          </cell>
          <cell r="C26">
            <v>3272</v>
          </cell>
          <cell r="D26">
            <v>2997</v>
          </cell>
          <cell r="E26">
            <v>8699</v>
          </cell>
          <cell r="F26">
            <v>14968</v>
          </cell>
        </row>
        <row r="27">
          <cell r="A27">
            <v>1026</v>
          </cell>
          <cell r="B27" t="str">
            <v>ALFA TRADING CO</v>
          </cell>
          <cell r="C27">
            <v>6845</v>
          </cell>
          <cell r="D27">
            <v>5107</v>
          </cell>
          <cell r="E27">
            <v>7171</v>
          </cell>
          <cell r="F27">
            <v>19123</v>
          </cell>
        </row>
        <row r="28">
          <cell r="A28">
            <v>1027</v>
          </cell>
          <cell r="B28" t="str">
            <v>SUNRISE TRADERS</v>
          </cell>
          <cell r="C28">
            <v>5451</v>
          </cell>
          <cell r="D28">
            <v>8184</v>
          </cell>
          <cell r="E28">
            <v>3523</v>
          </cell>
          <cell r="F28">
            <v>17158</v>
          </cell>
        </row>
      </sheetData>
      <sheetData sheetId="3"/>
      <sheetData sheetId="4"/>
      <sheetData sheetId="5"/>
      <sheetData sheetId="6"/>
      <sheetData sheetId="7">
        <row r="2">
          <cell r="J2" t="str">
            <v>Amt Sold</v>
          </cell>
          <cell r="K2" t="str">
            <v>Rate</v>
          </cell>
        </row>
        <row r="3">
          <cell r="G3">
            <v>0</v>
          </cell>
          <cell r="H3">
            <v>1.4999999999999999E-2</v>
          </cell>
          <cell r="J3">
            <v>0</v>
          </cell>
          <cell r="K3">
            <v>0.02</v>
          </cell>
        </row>
        <row r="4">
          <cell r="G4">
            <v>5000</v>
          </cell>
          <cell r="H4">
            <v>3.2500000000000001E-2</v>
          </cell>
          <cell r="J4">
            <v>50000</v>
          </cell>
          <cell r="K4">
            <v>6.25E-2</v>
          </cell>
        </row>
        <row r="5">
          <cell r="G5">
            <v>10000</v>
          </cell>
          <cell r="H5">
            <v>3.5000000000000003E-2</v>
          </cell>
          <cell r="J5">
            <v>100000</v>
          </cell>
          <cell r="K5">
            <v>7.2499999999999995E-2</v>
          </cell>
        </row>
        <row r="6">
          <cell r="G6">
            <v>20000</v>
          </cell>
          <cell r="H6">
            <v>0.05</v>
          </cell>
          <cell r="J6">
            <v>200000</v>
          </cell>
          <cell r="K6">
            <v>8.2500000000000004E-2</v>
          </cell>
        </row>
        <row r="7">
          <cell r="G7">
            <v>50000</v>
          </cell>
          <cell r="H7">
            <v>0.06</v>
          </cell>
          <cell r="J7">
            <v>300000</v>
          </cell>
          <cell r="K7">
            <v>9.2499999999999999E-2</v>
          </cell>
        </row>
        <row r="8">
          <cell r="G8">
            <v>100000</v>
          </cell>
          <cell r="H8">
            <v>7.0000000000000007E-2</v>
          </cell>
          <cell r="J8">
            <v>500000</v>
          </cell>
          <cell r="K8">
            <v>0.1</v>
          </cell>
        </row>
        <row r="9">
          <cell r="G9">
            <v>250000</v>
          </cell>
          <cell r="H9">
            <v>0.08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0BE5-96D2-4BBC-BAA9-B1F1B5A9325A}">
  <dimension ref="A1:K13"/>
  <sheetViews>
    <sheetView showGridLines="0" topLeftCell="B1" zoomScaleNormal="100" workbookViewId="0">
      <selection activeCell="D3" sqref="D3"/>
    </sheetView>
  </sheetViews>
  <sheetFormatPr defaultColWidth="23.81640625" defaultRowHeight="18.5" x14ac:dyDescent="0.45"/>
  <cols>
    <col min="1" max="16384" width="23.81640625" style="4"/>
  </cols>
  <sheetData>
    <row r="1" spans="1:11" ht="37" x14ac:dyDescent="0.4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G1" s="5" t="s">
        <v>5</v>
      </c>
      <c r="H1" s="6"/>
      <c r="I1" s="7"/>
      <c r="J1" s="5" t="s">
        <v>6</v>
      </c>
      <c r="K1" s="6"/>
    </row>
    <row r="2" spans="1:11" x14ac:dyDescent="0.45">
      <c r="A2" s="8" t="s">
        <v>7</v>
      </c>
      <c r="B2" s="9">
        <v>4</v>
      </c>
      <c r="C2" s="10">
        <v>120000</v>
      </c>
      <c r="D2" s="11"/>
      <c r="E2" s="10">
        <f>C2*D2</f>
        <v>0</v>
      </c>
      <c r="G2" s="12" t="s">
        <v>8</v>
      </c>
      <c r="H2" s="12" t="s">
        <v>9</v>
      </c>
      <c r="J2" s="12" t="s">
        <v>8</v>
      </c>
      <c r="K2" s="12" t="s">
        <v>9</v>
      </c>
    </row>
    <row r="3" spans="1:11" x14ac:dyDescent="0.45">
      <c r="A3" s="8" t="s">
        <v>10</v>
      </c>
      <c r="B3" s="9">
        <v>1</v>
      </c>
      <c r="C3" s="10">
        <v>210921</v>
      </c>
      <c r="D3" s="11"/>
      <c r="E3" s="10">
        <f t="shared" ref="E3:E12" si="0">C3*D3</f>
        <v>0</v>
      </c>
      <c r="G3" s="13">
        <v>0</v>
      </c>
      <c r="H3" s="14">
        <v>1.4999999999999999E-2</v>
      </c>
      <c r="J3" s="13">
        <v>0</v>
      </c>
      <c r="K3" s="14">
        <v>0.02</v>
      </c>
    </row>
    <row r="4" spans="1:11" x14ac:dyDescent="0.45">
      <c r="A4" s="8" t="s">
        <v>11</v>
      </c>
      <c r="B4" s="9">
        <v>1</v>
      </c>
      <c r="C4" s="10">
        <v>100000</v>
      </c>
      <c r="D4" s="11"/>
      <c r="E4" s="10">
        <f t="shared" si="0"/>
        <v>0</v>
      </c>
      <c r="G4" s="13">
        <f>G3+5000</f>
        <v>5000</v>
      </c>
      <c r="H4" s="14">
        <v>3.2500000000000001E-2</v>
      </c>
      <c r="J4" s="13">
        <v>50000</v>
      </c>
      <c r="K4" s="14">
        <v>6.25E-2</v>
      </c>
    </row>
    <row r="5" spans="1:11" x14ac:dyDescent="0.45">
      <c r="A5" s="8" t="s">
        <v>12</v>
      </c>
      <c r="B5" s="9">
        <v>2</v>
      </c>
      <c r="C5" s="10">
        <v>87401</v>
      </c>
      <c r="D5" s="11"/>
      <c r="E5" s="10">
        <f t="shared" si="0"/>
        <v>0</v>
      </c>
      <c r="G5" s="13">
        <f>G4+5000</f>
        <v>10000</v>
      </c>
      <c r="H5" s="14">
        <v>3.5000000000000003E-2</v>
      </c>
      <c r="J5" s="13">
        <v>100000</v>
      </c>
      <c r="K5" s="14">
        <v>7.2499999999999995E-2</v>
      </c>
    </row>
    <row r="6" spans="1:11" x14ac:dyDescent="0.45">
      <c r="A6" s="8" t="s">
        <v>13</v>
      </c>
      <c r="B6" s="9">
        <v>6</v>
      </c>
      <c r="C6" s="10">
        <v>310983</v>
      </c>
      <c r="D6" s="11"/>
      <c r="E6" s="10">
        <f t="shared" si="0"/>
        <v>0</v>
      </c>
      <c r="G6" s="13">
        <v>20000</v>
      </c>
      <c r="H6" s="14">
        <v>0.05</v>
      </c>
      <c r="J6" s="13">
        <v>200000</v>
      </c>
      <c r="K6" s="14">
        <v>8.2500000000000004E-2</v>
      </c>
    </row>
    <row r="7" spans="1:11" x14ac:dyDescent="0.45">
      <c r="A7" s="8" t="s">
        <v>14</v>
      </c>
      <c r="B7" s="9">
        <v>3</v>
      </c>
      <c r="C7" s="10">
        <v>43902</v>
      </c>
      <c r="D7" s="11"/>
      <c r="E7" s="10">
        <f t="shared" si="0"/>
        <v>0</v>
      </c>
      <c r="G7" s="13">
        <v>50000</v>
      </c>
      <c r="H7" s="14">
        <v>0.06</v>
      </c>
      <c r="J7" s="13">
        <v>300000</v>
      </c>
      <c r="K7" s="14">
        <v>9.2499999999999999E-2</v>
      </c>
    </row>
    <row r="8" spans="1:11" x14ac:dyDescent="0.45">
      <c r="A8" s="8" t="s">
        <v>15</v>
      </c>
      <c r="B8" s="9">
        <v>2</v>
      </c>
      <c r="C8" s="10">
        <v>121021</v>
      </c>
      <c r="D8" s="11"/>
      <c r="E8" s="10">
        <f t="shared" si="0"/>
        <v>0</v>
      </c>
      <c r="G8" s="13">
        <v>100000</v>
      </c>
      <c r="H8" s="14">
        <v>7.0000000000000007E-2</v>
      </c>
      <c r="J8" s="13">
        <v>500000</v>
      </c>
      <c r="K8" s="14">
        <v>0.1</v>
      </c>
    </row>
    <row r="9" spans="1:11" x14ac:dyDescent="0.45">
      <c r="A9" s="8" t="s">
        <v>16</v>
      </c>
      <c r="B9" s="9">
        <v>3</v>
      </c>
      <c r="C9" s="10">
        <v>908</v>
      </c>
      <c r="D9" s="11"/>
      <c r="E9" s="10">
        <f t="shared" si="0"/>
        <v>0</v>
      </c>
      <c r="G9" s="13">
        <v>250000</v>
      </c>
      <c r="H9" s="14">
        <v>0.08</v>
      </c>
    </row>
    <row r="10" spans="1:11" x14ac:dyDescent="0.45">
      <c r="A10" s="8" t="s">
        <v>17</v>
      </c>
      <c r="B10" s="9">
        <v>1</v>
      </c>
      <c r="C10" s="10">
        <v>0</v>
      </c>
      <c r="D10" s="11"/>
      <c r="E10" s="10">
        <f t="shared" si="0"/>
        <v>0</v>
      </c>
    </row>
    <row r="11" spans="1:11" x14ac:dyDescent="0.45">
      <c r="A11" s="8" t="s">
        <v>18</v>
      </c>
      <c r="B11" s="9">
        <v>4</v>
      </c>
      <c r="C11" s="10">
        <v>359832</v>
      </c>
      <c r="D11" s="11"/>
      <c r="E11" s="10">
        <f t="shared" si="0"/>
        <v>0</v>
      </c>
    </row>
    <row r="12" spans="1:11" x14ac:dyDescent="0.45">
      <c r="A12" s="8" t="s">
        <v>19</v>
      </c>
      <c r="B12" s="9">
        <v>4</v>
      </c>
      <c r="C12" s="10">
        <v>502983</v>
      </c>
      <c r="D12" s="11"/>
      <c r="E12" s="10">
        <f t="shared" si="0"/>
        <v>0</v>
      </c>
    </row>
    <row r="13" spans="1:11" x14ac:dyDescent="0.45">
      <c r="E1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04A8-AA68-4AA6-A299-38F7B81DCF65}">
  <dimension ref="A1:AK58"/>
  <sheetViews>
    <sheetView tabSelected="1" topLeftCell="A31" zoomScale="94" zoomScaleNormal="94" workbookViewId="0">
      <selection activeCell="A47" sqref="A47"/>
    </sheetView>
  </sheetViews>
  <sheetFormatPr defaultColWidth="9.26953125" defaultRowHeight="18.5" x14ac:dyDescent="0.45"/>
  <cols>
    <col min="1" max="1" width="28.7265625" style="18" customWidth="1"/>
    <col min="2" max="2" width="40.453125" style="18" customWidth="1"/>
    <col min="3" max="3" width="27.54296875" style="18" customWidth="1"/>
    <col min="4" max="4" width="22.7265625" style="18" customWidth="1"/>
    <col min="5" max="5" width="14" style="18" bestFit="1" customWidth="1"/>
    <col min="6" max="6" width="8.453125" style="18" bestFit="1" customWidth="1"/>
    <col min="7" max="8" width="9.26953125" style="18"/>
    <col min="9" max="9" width="18.453125" style="18" hidden="1" customWidth="1"/>
    <col min="10" max="10" width="27" style="18" hidden="1" customWidth="1"/>
    <col min="11" max="15" width="0" style="18" hidden="1" customWidth="1"/>
    <col min="16" max="16" width="9.26953125" style="18"/>
    <col min="17" max="17" width="26" style="18" customWidth="1"/>
    <col min="18" max="18" width="27.54296875" style="18" customWidth="1"/>
    <col min="19" max="19" width="11.1796875" style="18" bestFit="1" customWidth="1"/>
    <col min="20" max="20" width="9.26953125" style="18"/>
    <col min="21" max="21" width="10" style="18" bestFit="1" customWidth="1"/>
    <col min="22" max="23" width="22.1796875" style="18" customWidth="1"/>
    <col min="24" max="26" width="9.26953125" style="18"/>
    <col min="27" max="27" width="19.453125" style="18" customWidth="1"/>
    <col min="28" max="28" width="14.453125" style="18" customWidth="1"/>
    <col min="29" max="16384" width="9.26953125" style="18"/>
  </cols>
  <sheetData>
    <row r="1" spans="1:37" x14ac:dyDescent="0.45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7"/>
      <c r="H1" s="17"/>
      <c r="I1" s="17"/>
      <c r="J1" s="17"/>
      <c r="K1" s="17"/>
      <c r="L1" s="17"/>
      <c r="M1" s="17"/>
      <c r="N1" s="17"/>
      <c r="O1" s="17"/>
      <c r="P1" s="17"/>
      <c r="R1" s="17">
        <v>2</v>
      </c>
    </row>
    <row r="2" spans="1:37" x14ac:dyDescent="0.45">
      <c r="A2" s="16">
        <v>1001</v>
      </c>
      <c r="B2" s="16" t="s">
        <v>26</v>
      </c>
      <c r="C2" s="16">
        <v>1315</v>
      </c>
      <c r="D2" s="16">
        <v>3393</v>
      </c>
      <c r="E2" s="16">
        <v>1445</v>
      </c>
      <c r="F2" s="16">
        <f t="shared" ref="F2:F28" si="0">SUM(C2:E2)</f>
        <v>6153</v>
      </c>
      <c r="G2" s="17"/>
      <c r="H2" s="17"/>
      <c r="I2" s="17"/>
      <c r="J2" s="17" t="str">
        <f>CHOOSE(2,"kavita","naresh",40)</f>
        <v>naresh</v>
      </c>
      <c r="K2" s="17"/>
      <c r="L2" s="17"/>
      <c r="M2" s="17"/>
      <c r="N2" s="17"/>
      <c r="O2" s="17"/>
      <c r="P2" s="17"/>
      <c r="R2" s="17" t="s">
        <v>27</v>
      </c>
    </row>
    <row r="3" spans="1:37" x14ac:dyDescent="0.45">
      <c r="A3" s="16">
        <v>1002</v>
      </c>
      <c r="B3" s="16" t="s">
        <v>28</v>
      </c>
      <c r="C3" s="16">
        <v>9862</v>
      </c>
      <c r="D3" s="16">
        <v>9534</v>
      </c>
      <c r="E3" s="16">
        <v>8097</v>
      </c>
      <c r="F3" s="16">
        <f t="shared" si="0"/>
        <v>27493</v>
      </c>
      <c r="G3" s="17"/>
      <c r="H3" s="17"/>
      <c r="I3" s="19" t="s">
        <v>29</v>
      </c>
      <c r="J3" s="17" t="s">
        <v>30</v>
      </c>
      <c r="K3" s="17"/>
      <c r="L3" s="17"/>
      <c r="M3" s="17"/>
      <c r="N3" s="17"/>
      <c r="O3" s="17"/>
      <c r="P3" s="17"/>
      <c r="R3" s="17"/>
    </row>
    <row r="4" spans="1:37" x14ac:dyDescent="0.45">
      <c r="A4" s="16">
        <v>1003</v>
      </c>
      <c r="B4" s="16" t="s">
        <v>31</v>
      </c>
      <c r="C4" s="16">
        <v>6761</v>
      </c>
      <c r="D4" s="16">
        <v>5856</v>
      </c>
      <c r="E4" s="16">
        <v>1550</v>
      </c>
      <c r="F4" s="16">
        <f t="shared" si="0"/>
        <v>14167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20" t="s">
        <v>20</v>
      </c>
      <c r="R4" s="20">
        <v>1020</v>
      </c>
      <c r="AA4" s="21" t="s">
        <v>32</v>
      </c>
    </row>
    <row r="5" spans="1:37" x14ac:dyDescent="0.45">
      <c r="A5" s="16">
        <v>1004</v>
      </c>
      <c r="B5" s="16" t="s">
        <v>33</v>
      </c>
      <c r="C5" s="16">
        <v>8320</v>
      </c>
      <c r="D5" s="16">
        <v>6745</v>
      </c>
      <c r="E5" s="16">
        <v>2875</v>
      </c>
      <c r="F5" s="16">
        <f t="shared" si="0"/>
        <v>17940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6" t="s">
        <v>21</v>
      </c>
      <c r="R5" s="20" t="str">
        <f>VLOOKUP($R$4,My_tbl,2,0)</f>
        <v>SOHIN CHEMICALS</v>
      </c>
      <c r="AA5" s="21" t="s">
        <v>34</v>
      </c>
    </row>
    <row r="6" spans="1:37" x14ac:dyDescent="0.45">
      <c r="A6" s="16">
        <v>1005</v>
      </c>
      <c r="B6" s="16" t="s">
        <v>35</v>
      </c>
      <c r="C6" s="16">
        <v>2399</v>
      </c>
      <c r="D6" s="16">
        <v>3606</v>
      </c>
      <c r="E6" s="16">
        <v>2764</v>
      </c>
      <c r="F6" s="16">
        <f t="shared" si="0"/>
        <v>8769</v>
      </c>
      <c r="G6" s="17"/>
      <c r="H6" s="17"/>
      <c r="I6" s="17"/>
      <c r="J6" s="17">
        <v>1001</v>
      </c>
      <c r="K6" s="17"/>
      <c r="L6" s="17"/>
      <c r="M6" s="17"/>
      <c r="N6" s="17"/>
      <c r="O6" s="17"/>
      <c r="P6" s="17"/>
      <c r="Q6" s="16" t="s">
        <v>22</v>
      </c>
      <c r="R6" s="20">
        <f>VLOOKUP($R$4,My_tbl,3,0)</f>
        <v>3910</v>
      </c>
      <c r="AA6" s="21" t="s">
        <v>36</v>
      </c>
    </row>
    <row r="7" spans="1:37" x14ac:dyDescent="0.45">
      <c r="A7" s="16">
        <v>1001</v>
      </c>
      <c r="B7" s="16" t="s">
        <v>37</v>
      </c>
      <c r="C7" s="16">
        <v>5617</v>
      </c>
      <c r="D7" s="16">
        <v>9253</v>
      </c>
      <c r="E7" s="16">
        <v>5155</v>
      </c>
      <c r="F7" s="16">
        <f t="shared" si="0"/>
        <v>20025</v>
      </c>
      <c r="G7" s="17"/>
      <c r="H7" s="17"/>
      <c r="I7" s="17" t="s">
        <v>21</v>
      </c>
      <c r="J7" s="17" t="str">
        <f>VLOOKUP($J$6,My_tbl,MATCH(I7,my_headings,0),0)</f>
        <v>JAGDAMBA STEELS</v>
      </c>
      <c r="K7" s="17"/>
      <c r="L7" s="17"/>
      <c r="M7" s="17"/>
      <c r="N7" s="17"/>
      <c r="O7" s="17"/>
      <c r="P7" s="17"/>
      <c r="Q7" s="16" t="s">
        <v>23</v>
      </c>
      <c r="R7" s="20">
        <f>VLOOKUP($R$4,My_tbl,4,0)</f>
        <v>5181</v>
      </c>
      <c r="AA7" s="21" t="s">
        <v>38</v>
      </c>
    </row>
    <row r="8" spans="1:37" x14ac:dyDescent="0.45">
      <c r="A8" s="16">
        <v>1007</v>
      </c>
      <c r="B8" s="16" t="s">
        <v>39</v>
      </c>
      <c r="C8" s="16">
        <v>2594</v>
      </c>
      <c r="D8" s="16">
        <v>2876</v>
      </c>
      <c r="E8" s="16">
        <v>8858</v>
      </c>
      <c r="F8" s="16">
        <f t="shared" si="0"/>
        <v>14328</v>
      </c>
      <c r="G8" s="17"/>
      <c r="H8" s="17"/>
      <c r="I8" s="17" t="s">
        <v>40</v>
      </c>
      <c r="J8" s="17">
        <f>VLOOKUP($J$6,My_tbl,MATCH(I8,my_headings,0),0)</f>
        <v>1315</v>
      </c>
      <c r="K8" s="17"/>
      <c r="L8" s="17"/>
      <c r="M8" s="17"/>
      <c r="N8" s="17"/>
      <c r="O8" s="17"/>
      <c r="P8" s="17"/>
      <c r="Q8" s="16" t="s">
        <v>24</v>
      </c>
      <c r="R8" s="20">
        <f>VLOOKUP($R$4,My_tbl,5,0)</f>
        <v>3119</v>
      </c>
      <c r="AA8" s="21" t="s">
        <v>41</v>
      </c>
    </row>
    <row r="9" spans="1:37" x14ac:dyDescent="0.45">
      <c r="A9" s="16">
        <v>1008</v>
      </c>
      <c r="B9" s="16" t="s">
        <v>28</v>
      </c>
      <c r="C9" s="16">
        <v>8378</v>
      </c>
      <c r="D9" s="16">
        <v>6929</v>
      </c>
      <c r="E9" s="16">
        <v>4496</v>
      </c>
      <c r="F9" s="16">
        <f t="shared" si="0"/>
        <v>19803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6" t="s">
        <v>25</v>
      </c>
      <c r="R9" s="20">
        <f>VLOOKUP($R$4,My_tbl,6,0)</f>
        <v>12210</v>
      </c>
      <c r="AA9" s="21" t="s">
        <v>42</v>
      </c>
      <c r="AF9" s="18">
        <f t="shared" ref="AF9:AK9" si="1">AE9-AE10</f>
        <v>0</v>
      </c>
      <c r="AG9" s="18">
        <f t="shared" si="1"/>
        <v>-10</v>
      </c>
      <c r="AH9" s="18">
        <f t="shared" si="1"/>
        <v>-20</v>
      </c>
      <c r="AI9" s="18">
        <f t="shared" si="1"/>
        <v>-30</v>
      </c>
      <c r="AJ9" s="18">
        <f t="shared" si="1"/>
        <v>-40</v>
      </c>
      <c r="AK9" s="18">
        <f t="shared" si="1"/>
        <v>-50</v>
      </c>
    </row>
    <row r="10" spans="1:37" x14ac:dyDescent="0.45">
      <c r="A10" s="16">
        <v>1009</v>
      </c>
      <c r="B10" s="16" t="s">
        <v>43</v>
      </c>
      <c r="C10" s="16">
        <v>4137</v>
      </c>
      <c r="D10" s="16">
        <v>4122</v>
      </c>
      <c r="E10" s="16">
        <v>4106</v>
      </c>
      <c r="F10" s="16">
        <f t="shared" si="0"/>
        <v>12365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AF10" s="18">
        <v>10</v>
      </c>
      <c r="AG10" s="18">
        <v>10</v>
      </c>
      <c r="AH10" s="18">
        <v>10</v>
      </c>
      <c r="AI10" s="18">
        <v>10</v>
      </c>
      <c r="AJ10" s="18">
        <v>10</v>
      </c>
      <c r="AK10" s="18">
        <v>10</v>
      </c>
    </row>
    <row r="11" spans="1:37" x14ac:dyDescent="0.45">
      <c r="A11" s="16">
        <v>1010</v>
      </c>
      <c r="B11" s="16" t="s">
        <v>44</v>
      </c>
      <c r="C11" s="16">
        <v>5510</v>
      </c>
      <c r="D11" s="16">
        <v>9658</v>
      </c>
      <c r="E11" s="16">
        <v>1930</v>
      </c>
      <c r="F11" s="16">
        <f t="shared" si="0"/>
        <v>17098</v>
      </c>
      <c r="G11" s="17"/>
      <c r="H11" s="17"/>
      <c r="I11" s="17" t="str">
        <f t="array" ref="I11:O38">My_tbl</f>
        <v>File Number</v>
      </c>
      <c r="J11" s="17" t="str">
        <v>Description</v>
      </c>
      <c r="K11" s="17" t="str">
        <v>gst Audit</v>
      </c>
      <c r="L11" s="17" t="str">
        <v>Tax Audit</v>
      </c>
      <c r="M11" s="17" t="str">
        <v>Return Filing</v>
      </c>
      <c r="N11" s="17" t="str">
        <v>Total</v>
      </c>
      <c r="O11" s="17" t="e">
        <v>#N/A</v>
      </c>
      <c r="P11" s="17"/>
      <c r="AF11" s="18">
        <f t="shared" ref="AF11:AK11" si="2">AF9*7%</f>
        <v>0</v>
      </c>
      <c r="AG11" s="18">
        <f t="shared" si="2"/>
        <v>-0.70000000000000007</v>
      </c>
      <c r="AH11" s="18">
        <f t="shared" si="2"/>
        <v>-1.4000000000000001</v>
      </c>
      <c r="AI11" s="18">
        <f t="shared" si="2"/>
        <v>-2.1</v>
      </c>
      <c r="AJ11" s="18">
        <f t="shared" si="2"/>
        <v>-2.8000000000000003</v>
      </c>
      <c r="AK11" s="18">
        <f t="shared" si="2"/>
        <v>-3.5000000000000004</v>
      </c>
    </row>
    <row r="12" spans="1:37" x14ac:dyDescent="0.45">
      <c r="A12" s="16">
        <v>1011</v>
      </c>
      <c r="B12" s="16" t="s">
        <v>45</v>
      </c>
      <c r="C12" s="16">
        <v>4270</v>
      </c>
      <c r="D12" s="16">
        <v>7448</v>
      </c>
      <c r="E12" s="16">
        <v>3943</v>
      </c>
      <c r="F12" s="16">
        <f t="shared" si="0"/>
        <v>15661</v>
      </c>
      <c r="G12" s="17"/>
      <c r="H12" s="17"/>
      <c r="I12" s="17">
        <v>1001</v>
      </c>
      <c r="J12" s="17" t="str">
        <v>JAGDAMBA STEELS</v>
      </c>
      <c r="K12" s="17">
        <v>1315</v>
      </c>
      <c r="L12" s="17">
        <v>3393</v>
      </c>
      <c r="M12" s="17">
        <v>1445</v>
      </c>
      <c r="N12" s="17">
        <v>6153</v>
      </c>
      <c r="O12" s="17" t="e">
        <v>#N/A</v>
      </c>
      <c r="P12" s="17"/>
      <c r="Q12" s="22" t="s">
        <v>46</v>
      </c>
      <c r="R12" s="22"/>
      <c r="AF12" s="18">
        <f t="shared" ref="AF12:AK12" si="3">AF9-AF10+AF11</f>
        <v>-10</v>
      </c>
      <c r="AG12" s="18">
        <f t="shared" si="3"/>
        <v>-20.7</v>
      </c>
      <c r="AH12" s="18">
        <f t="shared" si="3"/>
        <v>-31.4</v>
      </c>
      <c r="AI12" s="18">
        <f t="shared" si="3"/>
        <v>-42.1</v>
      </c>
      <c r="AJ12" s="18">
        <f t="shared" si="3"/>
        <v>-52.8</v>
      </c>
      <c r="AK12" s="18">
        <f t="shared" si="3"/>
        <v>-63.5</v>
      </c>
    </row>
    <row r="13" spans="1:37" x14ac:dyDescent="0.45">
      <c r="A13" s="16">
        <v>1012</v>
      </c>
      <c r="B13" s="16" t="s">
        <v>47</v>
      </c>
      <c r="C13" s="16">
        <v>5178</v>
      </c>
      <c r="D13" s="16">
        <v>8814</v>
      </c>
      <c r="E13" s="16">
        <v>3739</v>
      </c>
      <c r="F13" s="16">
        <f t="shared" si="0"/>
        <v>17731</v>
      </c>
      <c r="G13" s="17"/>
      <c r="H13" s="17"/>
      <c r="I13" s="17">
        <v>1002</v>
      </c>
      <c r="J13" s="17" t="str">
        <v>GAJJAN ASSOCIATES</v>
      </c>
      <c r="K13" s="17">
        <v>9862</v>
      </c>
      <c r="L13" s="17">
        <v>9534</v>
      </c>
      <c r="M13" s="17">
        <v>8097</v>
      </c>
      <c r="N13" s="17">
        <v>27493</v>
      </c>
      <c r="O13" s="17" t="e">
        <v>#N/A</v>
      </c>
      <c r="P13" s="17"/>
      <c r="Q13" s="20" t="s">
        <v>20</v>
      </c>
      <c r="R13" s="20"/>
    </row>
    <row r="14" spans="1:37" x14ac:dyDescent="0.45">
      <c r="A14" s="16">
        <v>1013</v>
      </c>
      <c r="B14" s="16" t="s">
        <v>48</v>
      </c>
      <c r="C14" s="16">
        <v>6753</v>
      </c>
      <c r="D14" s="16">
        <v>6821</v>
      </c>
      <c r="E14" s="16">
        <v>7590</v>
      </c>
      <c r="F14" s="16">
        <f t="shared" si="0"/>
        <v>21164</v>
      </c>
      <c r="G14" s="17"/>
      <c r="H14" s="17"/>
      <c r="I14" s="17">
        <v>1003</v>
      </c>
      <c r="J14" s="17" t="str">
        <v>GAYATRI ENTERPRISE</v>
      </c>
      <c r="K14" s="17">
        <v>6761</v>
      </c>
      <c r="L14" s="17">
        <v>5856</v>
      </c>
      <c r="M14" s="17">
        <v>1550</v>
      </c>
      <c r="N14" s="17">
        <v>14167</v>
      </c>
      <c r="O14" s="17" t="e">
        <v>#N/A</v>
      </c>
      <c r="P14" s="17"/>
      <c r="Q14" s="16" t="s">
        <v>21</v>
      </c>
      <c r="R14" s="20"/>
    </row>
    <row r="15" spans="1:37" x14ac:dyDescent="0.45">
      <c r="A15" s="16">
        <v>1014</v>
      </c>
      <c r="B15" s="16" t="s">
        <v>49</v>
      </c>
      <c r="C15" s="16">
        <v>4792</v>
      </c>
      <c r="D15" s="16">
        <v>8089</v>
      </c>
      <c r="E15" s="16">
        <v>5261</v>
      </c>
      <c r="F15" s="16">
        <f t="shared" si="0"/>
        <v>18142</v>
      </c>
      <c r="G15" s="17"/>
      <c r="H15" s="17"/>
      <c r="I15" s="17">
        <v>1004</v>
      </c>
      <c r="J15" s="17" t="str">
        <v>GM POLYMERS</v>
      </c>
      <c r="K15" s="17">
        <v>8320</v>
      </c>
      <c r="L15" s="17">
        <v>6745</v>
      </c>
      <c r="M15" s="17">
        <v>2875</v>
      </c>
      <c r="N15" s="17">
        <v>17940</v>
      </c>
      <c r="O15" s="17" t="e">
        <v>#N/A</v>
      </c>
      <c r="P15" s="17"/>
      <c r="Q15" s="16" t="s">
        <v>22</v>
      </c>
      <c r="R15" s="20"/>
      <c r="AF15" s="18">
        <f t="shared" ref="AF15:AK15" si="4">AE15-AE16</f>
        <v>0</v>
      </c>
      <c r="AG15" s="18">
        <f t="shared" si="4"/>
        <v>-10</v>
      </c>
      <c r="AH15" s="18">
        <f t="shared" si="4"/>
        <v>-20</v>
      </c>
      <c r="AI15" s="18">
        <f t="shared" si="4"/>
        <v>-30</v>
      </c>
      <c r="AJ15" s="18">
        <f t="shared" si="4"/>
        <v>-40</v>
      </c>
      <c r="AK15" s="18">
        <f t="shared" si="4"/>
        <v>-50</v>
      </c>
    </row>
    <row r="16" spans="1:37" x14ac:dyDescent="0.45">
      <c r="A16" s="16">
        <v>1015</v>
      </c>
      <c r="B16" s="16" t="s">
        <v>50</v>
      </c>
      <c r="C16" s="16">
        <v>3409</v>
      </c>
      <c r="D16" s="16">
        <v>1665</v>
      </c>
      <c r="E16" s="16">
        <v>6702</v>
      </c>
      <c r="F16" s="16">
        <f t="shared" si="0"/>
        <v>11776</v>
      </c>
      <c r="G16" s="17"/>
      <c r="H16" s="17"/>
      <c r="I16" s="17">
        <v>1005</v>
      </c>
      <c r="J16" s="17" t="str">
        <v>MAHIPAL TRADERS</v>
      </c>
      <c r="K16" s="17">
        <v>2399</v>
      </c>
      <c r="L16" s="17">
        <v>3606</v>
      </c>
      <c r="M16" s="17">
        <v>2764</v>
      </c>
      <c r="N16" s="17">
        <v>8769</v>
      </c>
      <c r="O16" s="17" t="e">
        <v>#N/A</v>
      </c>
      <c r="P16" s="17"/>
      <c r="Q16" s="16" t="s">
        <v>23</v>
      </c>
      <c r="R16" s="20"/>
      <c r="AF16" s="18">
        <v>10</v>
      </c>
      <c r="AG16" s="18">
        <v>10</v>
      </c>
      <c r="AH16" s="18">
        <v>10</v>
      </c>
      <c r="AI16" s="18">
        <v>10</v>
      </c>
      <c r="AJ16" s="18">
        <v>10</v>
      </c>
      <c r="AK16" s="18">
        <v>10</v>
      </c>
    </row>
    <row r="17" spans="1:37" x14ac:dyDescent="0.45">
      <c r="A17" s="16">
        <v>1016</v>
      </c>
      <c r="B17" s="16" t="s">
        <v>51</v>
      </c>
      <c r="C17" s="16">
        <v>9735</v>
      </c>
      <c r="D17" s="16">
        <v>1736</v>
      </c>
      <c r="E17" s="16">
        <v>5216</v>
      </c>
      <c r="F17" s="16">
        <f t="shared" si="0"/>
        <v>16687</v>
      </c>
      <c r="G17" s="17"/>
      <c r="H17" s="17"/>
      <c r="I17" s="17">
        <v>1001</v>
      </c>
      <c r="J17" s="17" t="str">
        <v>MAITRI GASSES</v>
      </c>
      <c r="K17" s="17">
        <v>5617</v>
      </c>
      <c r="L17" s="17">
        <v>9253</v>
      </c>
      <c r="M17" s="17">
        <v>5155</v>
      </c>
      <c r="N17" s="17">
        <v>20025</v>
      </c>
      <c r="O17" s="17" t="e">
        <v>#N/A</v>
      </c>
      <c r="P17" s="17"/>
      <c r="Q17" s="16" t="s">
        <v>24</v>
      </c>
      <c r="R17" s="20"/>
      <c r="AF17" s="18">
        <f t="shared" ref="AF17:AK17" ca="1" si="5">AVERAGE(AF15,AF18)*0.07</f>
        <v>3.9896373056994823</v>
      </c>
      <c r="AG17" s="18">
        <f t="shared" ca="1" si="5"/>
        <v>3.2642487046632125</v>
      </c>
      <c r="AH17" s="18">
        <f t="shared" ca="1" si="5"/>
        <v>2.5388601036269431</v>
      </c>
      <c r="AI17" s="18">
        <f t="shared" ca="1" si="5"/>
        <v>1.8134715025906738</v>
      </c>
      <c r="AJ17" s="18">
        <f t="shared" ca="1" si="5"/>
        <v>1.0880829015544042</v>
      </c>
      <c r="AK17" s="18">
        <f t="shared" ca="1" si="5"/>
        <v>0.36269430051813473</v>
      </c>
    </row>
    <row r="18" spans="1:37" x14ac:dyDescent="0.45">
      <c r="A18" s="16">
        <v>1017</v>
      </c>
      <c r="B18" s="16" t="s">
        <v>52</v>
      </c>
      <c r="C18" s="16">
        <v>4346</v>
      </c>
      <c r="D18" s="16">
        <v>5733</v>
      </c>
      <c r="E18" s="16">
        <v>2591</v>
      </c>
      <c r="F18" s="16">
        <f t="shared" si="0"/>
        <v>12670</v>
      </c>
      <c r="G18" s="17"/>
      <c r="H18" s="17"/>
      <c r="I18" s="17">
        <v>1007</v>
      </c>
      <c r="J18" s="17" t="str">
        <v>MANGLAM FASHIONS</v>
      </c>
      <c r="K18" s="17">
        <v>2594</v>
      </c>
      <c r="L18" s="17">
        <v>2876</v>
      </c>
      <c r="M18" s="17">
        <v>8858</v>
      </c>
      <c r="N18" s="17">
        <v>14328</v>
      </c>
      <c r="O18" s="17" t="e">
        <v>#N/A</v>
      </c>
      <c r="P18" s="17"/>
      <c r="Q18" s="16" t="s">
        <v>25</v>
      </c>
      <c r="R18" s="20"/>
      <c r="AF18" s="18">
        <f t="shared" ref="AF18:AK18" ca="1" si="6">AF15-AF16+AF17</f>
        <v>53.989637305699482</v>
      </c>
      <c r="AG18" s="18">
        <f t="shared" ca="1" si="6"/>
        <v>43.26424870466321</v>
      </c>
      <c r="AH18" s="18">
        <f t="shared" ca="1" si="6"/>
        <v>32.538860103626945</v>
      </c>
      <c r="AI18" s="18">
        <f t="shared" ca="1" si="6"/>
        <v>21.813471502590673</v>
      </c>
      <c r="AJ18" s="18">
        <f t="shared" ca="1" si="6"/>
        <v>11.088082901554404</v>
      </c>
      <c r="AK18" s="18">
        <f t="shared" ca="1" si="6"/>
        <v>0.36269430051813473</v>
      </c>
    </row>
    <row r="19" spans="1:37" x14ac:dyDescent="0.45">
      <c r="A19" s="16">
        <v>1018</v>
      </c>
      <c r="B19" s="16" t="s">
        <v>53</v>
      </c>
      <c r="C19" s="16">
        <v>8507</v>
      </c>
      <c r="D19" s="16">
        <v>1608</v>
      </c>
      <c r="E19" s="16">
        <v>1822</v>
      </c>
      <c r="F19" s="16">
        <f t="shared" si="0"/>
        <v>11937</v>
      </c>
      <c r="G19" s="17"/>
      <c r="H19" s="17"/>
      <c r="I19" s="17">
        <v>1008</v>
      </c>
      <c r="J19" s="17" t="str">
        <v>GAJJAN ASSOCIATES</v>
      </c>
      <c r="K19" s="17">
        <v>8378</v>
      </c>
      <c r="L19" s="17">
        <v>6929</v>
      </c>
      <c r="M19" s="17">
        <v>4496</v>
      </c>
      <c r="N19" s="17">
        <v>19803</v>
      </c>
      <c r="O19" s="17" t="e">
        <v>#N/A</v>
      </c>
      <c r="P19" s="17"/>
      <c r="R19" s="20"/>
    </row>
    <row r="20" spans="1:37" x14ac:dyDescent="0.45">
      <c r="A20" s="16">
        <v>1019</v>
      </c>
      <c r="B20" s="16" t="s">
        <v>54</v>
      </c>
      <c r="C20" s="16">
        <v>2528</v>
      </c>
      <c r="D20" s="16">
        <v>6598</v>
      </c>
      <c r="E20" s="16">
        <v>3799</v>
      </c>
      <c r="F20" s="16">
        <f t="shared" si="0"/>
        <v>12925</v>
      </c>
      <c r="G20" s="17"/>
      <c r="H20" s="17"/>
      <c r="I20" s="17">
        <v>1009</v>
      </c>
      <c r="J20" s="17" t="str">
        <v>METRO POLYMERS</v>
      </c>
      <c r="K20" s="17">
        <v>4137</v>
      </c>
      <c r="L20" s="17">
        <v>4122</v>
      </c>
      <c r="M20" s="17">
        <v>4106</v>
      </c>
      <c r="N20" s="17">
        <v>12365</v>
      </c>
      <c r="O20" s="17" t="e">
        <v>#N/A</v>
      </c>
      <c r="P20" s="17"/>
    </row>
    <row r="21" spans="1:37" x14ac:dyDescent="0.45">
      <c r="A21" s="16">
        <v>1020</v>
      </c>
      <c r="B21" s="16" t="s">
        <v>55</v>
      </c>
      <c r="C21" s="16">
        <v>3910</v>
      </c>
      <c r="D21" s="16">
        <v>5181</v>
      </c>
      <c r="E21" s="16">
        <v>3119</v>
      </c>
      <c r="F21" s="16">
        <f t="shared" si="0"/>
        <v>12210</v>
      </c>
      <c r="G21" s="17"/>
      <c r="H21" s="17"/>
      <c r="I21" s="17">
        <v>1010</v>
      </c>
      <c r="J21" s="17" t="str">
        <v>MOHIN DRESSES</v>
      </c>
      <c r="K21" s="17">
        <v>5510</v>
      </c>
      <c r="L21" s="17">
        <v>9658</v>
      </c>
      <c r="M21" s="17">
        <v>1930</v>
      </c>
      <c r="N21" s="17">
        <v>17098</v>
      </c>
      <c r="O21" s="17" t="e">
        <v>#N/A</v>
      </c>
      <c r="P21" s="17"/>
    </row>
    <row r="22" spans="1:37" x14ac:dyDescent="0.45">
      <c r="A22" s="16">
        <v>1021</v>
      </c>
      <c r="B22" s="16" t="s">
        <v>56</v>
      </c>
      <c r="C22" s="16">
        <v>2552</v>
      </c>
      <c r="D22" s="16">
        <v>7592</v>
      </c>
      <c r="E22" s="16">
        <v>2315</v>
      </c>
      <c r="F22" s="16">
        <f t="shared" si="0"/>
        <v>12459</v>
      </c>
      <c r="G22" s="17"/>
      <c r="H22" s="17"/>
      <c r="I22" s="17">
        <v>1011</v>
      </c>
      <c r="J22" s="17" t="str">
        <v>SAHIL ENTERPRISES</v>
      </c>
      <c r="K22" s="17">
        <v>4270</v>
      </c>
      <c r="L22" s="17">
        <v>7448</v>
      </c>
      <c r="M22" s="17">
        <v>3943</v>
      </c>
      <c r="N22" s="17">
        <v>15661</v>
      </c>
      <c r="O22" s="17" t="e">
        <v>#N/A</v>
      </c>
      <c r="P22" s="17"/>
    </row>
    <row r="23" spans="1:37" x14ac:dyDescent="0.45">
      <c r="A23" s="16">
        <v>1022</v>
      </c>
      <c r="B23" s="16" t="s">
        <v>57</v>
      </c>
      <c r="C23" s="16">
        <v>3075</v>
      </c>
      <c r="D23" s="16">
        <v>6067</v>
      </c>
      <c r="E23" s="16">
        <v>9122</v>
      </c>
      <c r="F23" s="16">
        <f t="shared" si="0"/>
        <v>18264</v>
      </c>
      <c r="G23" s="17"/>
      <c r="H23" s="17"/>
      <c r="I23" s="17">
        <v>1012</v>
      </c>
      <c r="J23" s="17" t="str">
        <v>SHYAM TRADING</v>
      </c>
      <c r="K23" s="17">
        <v>5178</v>
      </c>
      <c r="L23" s="17">
        <v>8814</v>
      </c>
      <c r="M23" s="17">
        <v>3739</v>
      </c>
      <c r="N23" s="17">
        <v>17731</v>
      </c>
      <c r="O23" s="17" t="e">
        <v>#N/A</v>
      </c>
      <c r="P23" s="17"/>
    </row>
    <row r="24" spans="1:37" x14ac:dyDescent="0.45">
      <c r="A24" s="16">
        <v>1023</v>
      </c>
      <c r="B24" s="16" t="s">
        <v>58</v>
      </c>
      <c r="C24" s="16">
        <v>7683</v>
      </c>
      <c r="D24" s="16">
        <v>4418</v>
      </c>
      <c r="E24" s="16">
        <v>1160</v>
      </c>
      <c r="F24" s="16">
        <f t="shared" si="0"/>
        <v>13261</v>
      </c>
      <c r="G24" s="17"/>
      <c r="H24" s="17"/>
      <c r="I24" s="17">
        <v>1013</v>
      </c>
      <c r="J24" s="17" t="str">
        <v>VIBHU ENTERPRISES</v>
      </c>
      <c r="K24" s="17">
        <v>6753</v>
      </c>
      <c r="L24" s="17">
        <v>6821</v>
      </c>
      <c r="M24" s="17">
        <v>7590</v>
      </c>
      <c r="N24" s="17">
        <v>21164</v>
      </c>
      <c r="O24" s="17" t="e">
        <v>#N/A</v>
      </c>
      <c r="P24" s="17"/>
    </row>
    <row r="25" spans="1:37" x14ac:dyDescent="0.45">
      <c r="A25" s="16">
        <v>1024</v>
      </c>
      <c r="B25" s="16" t="s">
        <v>59</v>
      </c>
      <c r="C25" s="16">
        <v>3847</v>
      </c>
      <c r="D25" s="16">
        <v>3476</v>
      </c>
      <c r="E25" s="16">
        <v>2927</v>
      </c>
      <c r="F25" s="16">
        <f t="shared" si="0"/>
        <v>10250</v>
      </c>
      <c r="G25" s="17"/>
      <c r="H25" s="17"/>
      <c r="I25" s="17">
        <v>1014</v>
      </c>
      <c r="J25" s="17" t="str">
        <v>SATYAM TRADERS</v>
      </c>
      <c r="K25" s="17">
        <v>4792</v>
      </c>
      <c r="L25" s="17">
        <v>8089</v>
      </c>
      <c r="M25" s="17">
        <v>5261</v>
      </c>
      <c r="N25" s="17">
        <v>18142</v>
      </c>
      <c r="O25" s="17" t="e">
        <v>#N/A</v>
      </c>
      <c r="P25" s="17"/>
    </row>
    <row r="26" spans="1:37" x14ac:dyDescent="0.45">
      <c r="A26" s="16">
        <v>1025</v>
      </c>
      <c r="B26" s="16" t="s">
        <v>60</v>
      </c>
      <c r="C26" s="16">
        <v>3272</v>
      </c>
      <c r="D26" s="16">
        <v>2997</v>
      </c>
      <c r="E26" s="16">
        <v>8699</v>
      </c>
      <c r="F26" s="16">
        <f t="shared" si="0"/>
        <v>14968</v>
      </c>
      <c r="G26" s="17"/>
      <c r="H26" s="17"/>
      <c r="I26" s="17">
        <v>1015</v>
      </c>
      <c r="J26" s="17" t="str">
        <v>GEMINI CONSULTANTS</v>
      </c>
      <c r="K26" s="17">
        <v>3409</v>
      </c>
      <c r="L26" s="17">
        <v>1665</v>
      </c>
      <c r="M26" s="17">
        <v>6702</v>
      </c>
      <c r="N26" s="17">
        <v>11776</v>
      </c>
      <c r="O26" s="17" t="e">
        <v>#N/A</v>
      </c>
      <c r="P26" s="17"/>
    </row>
    <row r="27" spans="1:37" x14ac:dyDescent="0.45">
      <c r="A27" s="16">
        <v>1026</v>
      </c>
      <c r="B27" s="16" t="s">
        <v>61</v>
      </c>
      <c r="C27" s="16">
        <v>6845</v>
      </c>
      <c r="D27" s="16">
        <v>5107</v>
      </c>
      <c r="E27" s="16">
        <v>7171</v>
      </c>
      <c r="F27" s="16">
        <f t="shared" si="0"/>
        <v>19123</v>
      </c>
      <c r="G27" s="17"/>
      <c r="H27" s="17"/>
      <c r="I27" s="17">
        <v>1016</v>
      </c>
      <c r="J27" s="17" t="str">
        <v>BIOTECH POLYMERS</v>
      </c>
      <c r="K27" s="17">
        <v>9735</v>
      </c>
      <c r="L27" s="17">
        <v>1736</v>
      </c>
      <c r="M27" s="17">
        <v>5216</v>
      </c>
      <c r="N27" s="17">
        <v>16687</v>
      </c>
      <c r="O27" s="17" t="e">
        <v>#N/A</v>
      </c>
      <c r="P27" s="17"/>
    </row>
    <row r="28" spans="1:37" x14ac:dyDescent="0.45">
      <c r="A28" s="16">
        <v>1027</v>
      </c>
      <c r="B28" s="16" t="s">
        <v>62</v>
      </c>
      <c r="C28" s="16">
        <v>5451</v>
      </c>
      <c r="D28" s="16">
        <v>8184</v>
      </c>
      <c r="E28" s="16">
        <v>3523</v>
      </c>
      <c r="F28" s="16">
        <f t="shared" si="0"/>
        <v>17158</v>
      </c>
      <c r="G28" s="17"/>
      <c r="H28" s="17"/>
      <c r="I28" s="17">
        <v>1017</v>
      </c>
      <c r="J28" s="17" t="str">
        <v>TIRUPATI FERTLIZERS</v>
      </c>
      <c r="K28" s="17">
        <v>4346</v>
      </c>
      <c r="L28" s="17">
        <v>5733</v>
      </c>
      <c r="M28" s="17">
        <v>2591</v>
      </c>
      <c r="N28" s="17">
        <v>12670</v>
      </c>
      <c r="O28" s="17" t="e">
        <v>#N/A</v>
      </c>
      <c r="P28" s="17"/>
    </row>
    <row r="29" spans="1:37" x14ac:dyDescent="0.45">
      <c r="I29" s="17">
        <v>1018</v>
      </c>
      <c r="J29" s="18" t="str">
        <v>BRILLIANT LAMINOSYS</v>
      </c>
      <c r="K29" s="18">
        <v>8507</v>
      </c>
      <c r="L29" s="18">
        <v>1608</v>
      </c>
      <c r="M29" s="18">
        <v>1822</v>
      </c>
      <c r="N29" s="18">
        <v>11937</v>
      </c>
      <c r="O29" s="18" t="e">
        <v>#N/A</v>
      </c>
    </row>
    <row r="30" spans="1:37" x14ac:dyDescent="0.45">
      <c r="A30" s="20"/>
      <c r="B30" s="23"/>
      <c r="C30" s="24"/>
      <c r="D30" s="24"/>
      <c r="I30" s="17">
        <v>1019</v>
      </c>
      <c r="J30" s="18" t="str">
        <v>GO WORLD TECH PVT LTD</v>
      </c>
      <c r="K30" s="18">
        <v>2528</v>
      </c>
      <c r="L30" s="18">
        <v>6598</v>
      </c>
      <c r="M30" s="18">
        <v>3799</v>
      </c>
      <c r="N30" s="18">
        <v>12925</v>
      </c>
      <c r="O30" s="18" t="e">
        <v>#N/A</v>
      </c>
    </row>
    <row r="31" spans="1:37" x14ac:dyDescent="0.45">
      <c r="A31" s="16"/>
      <c r="B31" s="16"/>
      <c r="C31" s="16"/>
      <c r="D31" s="17"/>
      <c r="I31" s="17">
        <v>1020</v>
      </c>
      <c r="J31" s="18" t="str">
        <v>SOHIN CHEMICALS</v>
      </c>
      <c r="K31" s="18">
        <v>3910</v>
      </c>
      <c r="L31" s="18">
        <v>5181</v>
      </c>
      <c r="M31" s="18">
        <v>3119</v>
      </c>
      <c r="N31" s="18">
        <v>12210</v>
      </c>
      <c r="O31" s="18" t="e">
        <v>#N/A</v>
      </c>
    </row>
    <row r="32" spans="1:37" x14ac:dyDescent="0.45">
      <c r="A32" s="16"/>
      <c r="B32" s="23"/>
      <c r="C32" s="24"/>
      <c r="D32" s="17"/>
      <c r="F32" s="18" t="s">
        <v>63</v>
      </c>
      <c r="I32" s="17">
        <v>1021</v>
      </c>
      <c r="J32" s="18" t="str">
        <v>URMI CHEMICALS</v>
      </c>
      <c r="K32" s="18">
        <v>2552</v>
      </c>
      <c r="L32" s="18">
        <v>7592</v>
      </c>
      <c r="M32" s="18">
        <v>2315</v>
      </c>
      <c r="N32" s="18">
        <v>12459</v>
      </c>
      <c r="O32" s="18" t="e">
        <v>#N/A</v>
      </c>
    </row>
    <row r="33" spans="1:15" x14ac:dyDescent="0.45">
      <c r="A33" s="17"/>
      <c r="B33" s="24"/>
      <c r="C33" s="24"/>
      <c r="D33" s="17"/>
      <c r="F33" s="18" t="s">
        <v>64</v>
      </c>
      <c r="I33" s="17">
        <v>1022</v>
      </c>
      <c r="J33" s="18" t="str">
        <v xml:space="preserve">GANDHI CHEMICALS   </v>
      </c>
      <c r="K33" s="18">
        <v>3075</v>
      </c>
      <c r="L33" s="18">
        <v>6067</v>
      </c>
      <c r="M33" s="18">
        <v>9122</v>
      </c>
      <c r="N33" s="18">
        <v>18264</v>
      </c>
      <c r="O33" s="18" t="e">
        <v>#N/A</v>
      </c>
    </row>
    <row r="34" spans="1:15" x14ac:dyDescent="0.45">
      <c r="C34" s="24" t="s">
        <v>40</v>
      </c>
      <c r="D34" s="16" t="s">
        <v>20</v>
      </c>
      <c r="I34" s="17">
        <v>1023</v>
      </c>
      <c r="J34" s="18" t="str">
        <v>BANG DATA FORMS</v>
      </c>
      <c r="K34" s="18">
        <v>7683</v>
      </c>
      <c r="L34" s="18">
        <v>4418</v>
      </c>
      <c r="M34" s="18">
        <v>1160</v>
      </c>
      <c r="N34" s="18">
        <v>13261</v>
      </c>
      <c r="O34" s="18" t="e">
        <v>#N/A</v>
      </c>
    </row>
    <row r="35" spans="1:15" x14ac:dyDescent="0.45">
      <c r="B35" s="16" t="s">
        <v>56</v>
      </c>
      <c r="C35" s="18">
        <f>INDEX($A$1:$F$28,MATCH($B35,$B$1:$B$28,0),MATCH(C$34,$A$1:$F$1,0))</f>
        <v>2552</v>
      </c>
      <c r="D35" s="18">
        <f>INDEX($A$1:$F$28,MATCH($B35,$B$1:$B$28,0),MATCH(D$34,$A$1:$F$1,0))</f>
        <v>1021</v>
      </c>
      <c r="I35" s="17">
        <v>1024</v>
      </c>
      <c r="J35" s="18" t="str">
        <v>SURAJ EXPORTS</v>
      </c>
      <c r="K35" s="18">
        <v>3847</v>
      </c>
      <c r="L35" s="18">
        <v>3476</v>
      </c>
      <c r="M35" s="18">
        <v>2927</v>
      </c>
      <c r="N35" s="18">
        <v>10250</v>
      </c>
      <c r="O35" s="18" t="e">
        <v>#N/A</v>
      </c>
    </row>
    <row r="36" spans="1:15" x14ac:dyDescent="0.45">
      <c r="B36" s="16" t="s">
        <v>58</v>
      </c>
      <c r="C36" s="18">
        <f t="shared" ref="C36:D39" si="7">INDEX($A$1:$F$28,MATCH($B36,$B$1:$B$28,0),MATCH(C$34,$A$1:$F$1,0))</f>
        <v>7683</v>
      </c>
      <c r="D36" s="18">
        <f t="shared" si="7"/>
        <v>1023</v>
      </c>
      <c r="I36" s="17">
        <v>1025</v>
      </c>
      <c r="J36" s="18" t="str">
        <v>VINOD ENTERPISES</v>
      </c>
      <c r="K36" s="18">
        <v>3272</v>
      </c>
      <c r="L36" s="18">
        <v>2997</v>
      </c>
      <c r="M36" s="18">
        <v>8699</v>
      </c>
      <c r="N36" s="18">
        <v>14968</v>
      </c>
      <c r="O36" s="18" t="e">
        <v>#N/A</v>
      </c>
    </row>
    <row r="37" spans="1:15" x14ac:dyDescent="0.45">
      <c r="B37" s="16" t="s">
        <v>59</v>
      </c>
      <c r="C37" s="18">
        <f t="shared" si="7"/>
        <v>3847</v>
      </c>
      <c r="D37" s="18">
        <f t="shared" si="7"/>
        <v>1024</v>
      </c>
      <c r="I37" s="17">
        <v>1026</v>
      </c>
      <c r="J37" s="18" t="str">
        <v>ALFA TRADING CO</v>
      </c>
      <c r="K37" s="18">
        <v>6845</v>
      </c>
      <c r="L37" s="18">
        <v>5107</v>
      </c>
      <c r="M37" s="18">
        <v>7171</v>
      </c>
      <c r="N37" s="18">
        <v>19123</v>
      </c>
      <c r="O37" s="18" t="e">
        <v>#N/A</v>
      </c>
    </row>
    <row r="38" spans="1:15" x14ac:dyDescent="0.45">
      <c r="B38" s="16" t="s">
        <v>60</v>
      </c>
      <c r="C38" s="18">
        <f t="shared" si="7"/>
        <v>3272</v>
      </c>
      <c r="D38" s="18">
        <f t="shared" si="7"/>
        <v>1025</v>
      </c>
      <c r="I38" s="17">
        <v>1027</v>
      </c>
      <c r="J38" s="18" t="str">
        <v>SUNRISE TRADERS</v>
      </c>
      <c r="K38" s="18">
        <v>5451</v>
      </c>
      <c r="L38" s="18">
        <v>8184</v>
      </c>
      <c r="M38" s="18">
        <v>3523</v>
      </c>
      <c r="N38" s="18">
        <v>17158</v>
      </c>
      <c r="O38" s="18" t="e">
        <v>#N/A</v>
      </c>
    </row>
    <row r="39" spans="1:15" x14ac:dyDescent="0.45">
      <c r="B39" s="16" t="s">
        <v>61</v>
      </c>
      <c r="C39" s="18">
        <f t="shared" si="7"/>
        <v>6845</v>
      </c>
      <c r="D39" s="18">
        <f t="shared" si="7"/>
        <v>1026</v>
      </c>
    </row>
    <row r="40" spans="1:15" x14ac:dyDescent="0.45">
      <c r="C40" s="24"/>
    </row>
    <row r="48" spans="1:15" x14ac:dyDescent="0.45">
      <c r="A48" s="20" t="s">
        <v>20</v>
      </c>
      <c r="B48" s="16" t="s">
        <v>21</v>
      </c>
    </row>
    <row r="49" spans="1:21" x14ac:dyDescent="0.45">
      <c r="A49" s="20">
        <f>INDEX(My_tbl,4,1)</f>
        <v>1003</v>
      </c>
      <c r="B49" s="16" t="s">
        <v>31</v>
      </c>
    </row>
    <row r="53" spans="1:21" x14ac:dyDescent="0.45">
      <c r="Q53" s="17"/>
      <c r="S53" s="24"/>
      <c r="T53" s="24"/>
      <c r="U53" s="24"/>
    </row>
    <row r="54" spans="1:21" x14ac:dyDescent="0.45">
      <c r="R54" s="24"/>
      <c r="S54" s="24"/>
      <c r="T54" s="24"/>
      <c r="U54" s="24"/>
    </row>
    <row r="55" spans="1:21" x14ac:dyDescent="0.45">
      <c r="R55" s="24"/>
      <c r="S55" s="24"/>
      <c r="T55" s="24"/>
      <c r="U55" s="24"/>
    </row>
    <row r="56" spans="1:21" x14ac:dyDescent="0.45">
      <c r="R56" s="24"/>
      <c r="S56" s="24"/>
      <c r="T56" s="24"/>
      <c r="U56" s="24"/>
    </row>
    <row r="57" spans="1:21" x14ac:dyDescent="0.45">
      <c r="R57" s="24"/>
      <c r="S57" s="24"/>
      <c r="T57" s="24"/>
      <c r="U57" s="24"/>
    </row>
    <row r="58" spans="1:21" x14ac:dyDescent="0.45">
      <c r="R58" s="24"/>
    </row>
  </sheetData>
  <mergeCells count="1">
    <mergeCell ref="Q12:R1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6ACC-D792-4926-9A2D-A8E4991B4602}">
  <dimension ref="A1:AB17"/>
  <sheetViews>
    <sheetView workbookViewId="0">
      <selection activeCell="C14" sqref="C14"/>
    </sheetView>
  </sheetViews>
  <sheetFormatPr defaultRowHeight="14.5" x14ac:dyDescent="0.35"/>
  <cols>
    <col min="1" max="1" width="12.26953125" bestFit="1" customWidth="1"/>
    <col min="2" max="2" width="17.54296875" bestFit="1" customWidth="1"/>
    <col min="3" max="3" width="19.26953125" bestFit="1" customWidth="1"/>
    <col min="4" max="4" width="19.7265625" bestFit="1" customWidth="1"/>
    <col min="5" max="5" width="13.7265625" bestFit="1" customWidth="1"/>
    <col min="6" max="6" width="17.7265625" bestFit="1" customWidth="1"/>
    <col min="7" max="7" width="14.453125" bestFit="1" customWidth="1"/>
    <col min="8" max="8" width="20.26953125" bestFit="1" customWidth="1"/>
    <col min="9" max="9" width="20.453125" bestFit="1" customWidth="1"/>
    <col min="10" max="10" width="17.26953125" bestFit="1" customWidth="1"/>
    <col min="11" max="11" width="15.453125" bestFit="1" customWidth="1"/>
    <col min="12" max="12" width="18.26953125" bestFit="1" customWidth="1"/>
    <col min="13" max="13" width="15.7265625" bestFit="1" customWidth="1"/>
    <col min="14" max="14" width="18.7265625" bestFit="1" customWidth="1"/>
    <col min="15" max="15" width="16.7265625" bestFit="1" customWidth="1"/>
    <col min="16" max="16" width="21.26953125" bestFit="1" customWidth="1"/>
    <col min="17" max="17" width="18.54296875" bestFit="1" customWidth="1"/>
    <col min="18" max="18" width="19.453125" bestFit="1" customWidth="1"/>
    <col min="19" max="19" width="20.7265625" bestFit="1" customWidth="1"/>
    <col min="20" max="20" width="23.453125" bestFit="1" customWidth="1"/>
    <col min="21" max="21" width="17.453125" bestFit="1" customWidth="1"/>
    <col min="22" max="22" width="16.26953125" bestFit="1" customWidth="1"/>
    <col min="23" max="23" width="18.7265625" bestFit="1" customWidth="1"/>
    <col min="24" max="24" width="18.453125" bestFit="1" customWidth="1"/>
    <col min="25" max="25" width="14.7265625" bestFit="1" customWidth="1"/>
    <col min="26" max="26" width="18" bestFit="1" customWidth="1"/>
    <col min="27" max="27" width="17" bestFit="1" customWidth="1"/>
    <col min="28" max="28" width="16.7265625" bestFit="1" customWidth="1"/>
  </cols>
  <sheetData>
    <row r="1" spans="1:28" ht="18.5" x14ac:dyDescent="0.45">
      <c r="A1" s="17" t="s">
        <v>65</v>
      </c>
      <c r="B1" s="25">
        <v>1001</v>
      </c>
      <c r="C1" s="25">
        <v>1002</v>
      </c>
      <c r="D1" s="25">
        <v>1003</v>
      </c>
      <c r="E1" s="25">
        <v>1004</v>
      </c>
      <c r="F1" s="25">
        <v>1005</v>
      </c>
      <c r="G1" s="25">
        <v>1006</v>
      </c>
      <c r="H1" s="25">
        <v>1007</v>
      </c>
      <c r="I1" s="25">
        <v>1008</v>
      </c>
      <c r="J1" s="25">
        <v>1009</v>
      </c>
      <c r="K1" s="25">
        <v>1010</v>
      </c>
      <c r="L1" s="25">
        <v>1011</v>
      </c>
      <c r="M1" s="25">
        <v>1012</v>
      </c>
      <c r="N1" s="25">
        <v>1013</v>
      </c>
      <c r="O1" s="25">
        <v>1014</v>
      </c>
      <c r="P1" s="25">
        <v>1015</v>
      </c>
      <c r="Q1" s="25">
        <v>1016</v>
      </c>
      <c r="R1" s="25">
        <v>1017</v>
      </c>
      <c r="S1" s="25">
        <v>1018</v>
      </c>
      <c r="T1" s="25">
        <v>1019</v>
      </c>
      <c r="U1" s="25">
        <v>1020</v>
      </c>
      <c r="V1" s="25">
        <v>1021</v>
      </c>
      <c r="W1" s="25">
        <v>1022</v>
      </c>
      <c r="X1" s="25">
        <v>1023</v>
      </c>
      <c r="Y1" s="25">
        <v>1024</v>
      </c>
      <c r="Z1" s="25">
        <v>1025</v>
      </c>
      <c r="AA1" s="25">
        <v>1026</v>
      </c>
      <c r="AB1" s="25">
        <v>1027</v>
      </c>
    </row>
    <row r="2" spans="1:28" ht="18.5" x14ac:dyDescent="0.45">
      <c r="A2" s="17" t="s">
        <v>21</v>
      </c>
      <c r="B2" s="25" t="s">
        <v>26</v>
      </c>
      <c r="C2" s="25" t="s">
        <v>28</v>
      </c>
      <c r="D2" s="25" t="s">
        <v>31</v>
      </c>
      <c r="E2" s="25" t="s">
        <v>33</v>
      </c>
      <c r="F2" s="25" t="s">
        <v>35</v>
      </c>
      <c r="G2" s="25" t="s">
        <v>37</v>
      </c>
      <c r="H2" s="25" t="s">
        <v>39</v>
      </c>
      <c r="I2" s="25" t="s">
        <v>66</v>
      </c>
      <c r="J2" s="25" t="s">
        <v>43</v>
      </c>
      <c r="K2" s="25" t="s">
        <v>44</v>
      </c>
      <c r="L2" s="25" t="s">
        <v>45</v>
      </c>
      <c r="M2" s="25" t="s">
        <v>47</v>
      </c>
      <c r="N2" s="25" t="s">
        <v>48</v>
      </c>
      <c r="O2" s="25" t="s">
        <v>49</v>
      </c>
      <c r="P2" s="25" t="s">
        <v>50</v>
      </c>
      <c r="Q2" s="25" t="s">
        <v>51</v>
      </c>
      <c r="R2" s="25" t="s">
        <v>52</v>
      </c>
      <c r="S2" s="25" t="s">
        <v>53</v>
      </c>
      <c r="T2" s="25" t="s">
        <v>54</v>
      </c>
      <c r="U2" s="25" t="s">
        <v>55</v>
      </c>
      <c r="V2" s="25" t="s">
        <v>56</v>
      </c>
      <c r="W2" s="25" t="s">
        <v>67</v>
      </c>
      <c r="X2" s="25" t="s">
        <v>58</v>
      </c>
      <c r="Y2" s="25" t="s">
        <v>59</v>
      </c>
      <c r="Z2" s="25" t="s">
        <v>60</v>
      </c>
      <c r="AA2" s="25" t="s">
        <v>61</v>
      </c>
      <c r="AB2" s="25" t="s">
        <v>62</v>
      </c>
    </row>
    <row r="3" spans="1:28" ht="18.5" x14ac:dyDescent="0.45">
      <c r="A3" s="17" t="s">
        <v>68</v>
      </c>
      <c r="B3" s="25">
        <v>1315</v>
      </c>
      <c r="C3" s="25">
        <v>9862</v>
      </c>
      <c r="D3" s="25">
        <v>6761</v>
      </c>
      <c r="E3" s="25">
        <v>8320</v>
      </c>
      <c r="F3" s="25">
        <v>2399</v>
      </c>
      <c r="G3" s="25">
        <v>5617</v>
      </c>
      <c r="H3" s="25">
        <v>2594</v>
      </c>
      <c r="I3" s="25">
        <v>8378</v>
      </c>
      <c r="J3" s="25">
        <v>4137</v>
      </c>
      <c r="K3" s="25">
        <v>5510</v>
      </c>
      <c r="L3" s="25">
        <v>4270</v>
      </c>
      <c r="M3" s="25">
        <v>5178</v>
      </c>
      <c r="N3" s="25">
        <v>6753</v>
      </c>
      <c r="O3" s="25">
        <v>4792</v>
      </c>
      <c r="P3" s="25">
        <v>3409</v>
      </c>
      <c r="Q3" s="25">
        <v>9735</v>
      </c>
      <c r="R3" s="25">
        <v>4346</v>
      </c>
      <c r="S3" s="25">
        <v>8507</v>
      </c>
      <c r="T3" s="25">
        <v>2528</v>
      </c>
      <c r="U3" s="25">
        <v>3910</v>
      </c>
      <c r="V3" s="25">
        <v>2552</v>
      </c>
      <c r="W3" s="25">
        <v>3075</v>
      </c>
      <c r="X3" s="25">
        <v>7683</v>
      </c>
      <c r="Y3" s="25">
        <v>3847</v>
      </c>
      <c r="Z3" s="25">
        <v>3272</v>
      </c>
      <c r="AA3" s="25">
        <v>6845</v>
      </c>
      <c r="AB3" s="25">
        <v>5451</v>
      </c>
    </row>
    <row r="4" spans="1:28" ht="18.5" x14ac:dyDescent="0.45">
      <c r="A4" s="17" t="s">
        <v>23</v>
      </c>
      <c r="B4" s="25">
        <v>3393</v>
      </c>
      <c r="C4" s="25">
        <v>9534</v>
      </c>
      <c r="D4" s="25">
        <v>5856</v>
      </c>
      <c r="E4" s="25">
        <v>6745</v>
      </c>
      <c r="F4" s="25">
        <v>3606</v>
      </c>
      <c r="G4" s="25">
        <v>9253</v>
      </c>
      <c r="H4" s="25">
        <v>2876</v>
      </c>
      <c r="I4" s="25">
        <v>6929</v>
      </c>
      <c r="J4" s="25">
        <v>4122</v>
      </c>
      <c r="K4" s="25">
        <v>9658</v>
      </c>
      <c r="L4" s="25">
        <v>7448</v>
      </c>
      <c r="M4" s="25">
        <v>8814</v>
      </c>
      <c r="N4" s="25">
        <v>6821</v>
      </c>
      <c r="O4" s="25">
        <v>8089</v>
      </c>
      <c r="P4" s="25">
        <v>1665</v>
      </c>
      <c r="Q4" s="25">
        <v>1736</v>
      </c>
      <c r="R4" s="25">
        <v>5733</v>
      </c>
      <c r="S4" s="25">
        <v>1608</v>
      </c>
      <c r="T4" s="25">
        <v>6598</v>
      </c>
      <c r="U4" s="25">
        <v>5181</v>
      </c>
      <c r="V4" s="25">
        <v>7592</v>
      </c>
      <c r="W4" s="25">
        <v>6067</v>
      </c>
      <c r="X4" s="25">
        <v>4418</v>
      </c>
      <c r="Y4" s="25">
        <v>3476</v>
      </c>
      <c r="Z4" s="25">
        <v>2997</v>
      </c>
      <c r="AA4" s="25">
        <v>5107</v>
      </c>
      <c r="AB4" s="25">
        <v>8184</v>
      </c>
    </row>
    <row r="5" spans="1:28" ht="18.5" x14ac:dyDescent="0.45">
      <c r="A5" s="17" t="s">
        <v>24</v>
      </c>
      <c r="B5" s="25">
        <v>1445</v>
      </c>
      <c r="C5" s="25">
        <v>8097</v>
      </c>
      <c r="D5" s="25">
        <v>1550</v>
      </c>
      <c r="E5" s="25">
        <v>2875</v>
      </c>
      <c r="F5" s="25">
        <v>2764</v>
      </c>
      <c r="G5" s="25">
        <v>5155</v>
      </c>
      <c r="H5" s="25">
        <v>8858</v>
      </c>
      <c r="I5" s="25">
        <v>4496</v>
      </c>
      <c r="J5" s="25">
        <v>4106</v>
      </c>
      <c r="K5" s="25">
        <v>1930</v>
      </c>
      <c r="L5" s="25">
        <v>3943</v>
      </c>
      <c r="M5" s="25">
        <v>3739</v>
      </c>
      <c r="N5" s="25">
        <v>7590</v>
      </c>
      <c r="O5" s="25">
        <v>5261</v>
      </c>
      <c r="P5" s="25">
        <v>6702</v>
      </c>
      <c r="Q5" s="25">
        <v>5216</v>
      </c>
      <c r="R5" s="25">
        <v>2591</v>
      </c>
      <c r="S5" s="25">
        <v>1822</v>
      </c>
      <c r="T5" s="25">
        <v>3799</v>
      </c>
      <c r="U5" s="25">
        <v>3119</v>
      </c>
      <c r="V5" s="25">
        <v>2315</v>
      </c>
      <c r="W5" s="25">
        <v>9122</v>
      </c>
      <c r="X5" s="25">
        <v>1160</v>
      </c>
      <c r="Y5" s="25">
        <v>2927</v>
      </c>
      <c r="Z5" s="25">
        <v>8699</v>
      </c>
      <c r="AA5" s="25">
        <v>7171</v>
      </c>
      <c r="AB5" s="25">
        <v>3523</v>
      </c>
    </row>
    <row r="6" spans="1:28" ht="18.5" x14ac:dyDescent="0.45">
      <c r="A6" s="17" t="s">
        <v>25</v>
      </c>
      <c r="B6" s="25">
        <f t="shared" ref="B6:AB6" si="0">SUM(B3:B5)</f>
        <v>6153</v>
      </c>
      <c r="C6" s="25">
        <f t="shared" si="0"/>
        <v>27493</v>
      </c>
      <c r="D6" s="25">
        <f t="shared" si="0"/>
        <v>14167</v>
      </c>
      <c r="E6" s="25">
        <f t="shared" si="0"/>
        <v>17940</v>
      </c>
      <c r="F6" s="25">
        <f t="shared" si="0"/>
        <v>8769</v>
      </c>
      <c r="G6" s="25">
        <f t="shared" si="0"/>
        <v>20025</v>
      </c>
      <c r="H6" s="25">
        <f t="shared" si="0"/>
        <v>14328</v>
      </c>
      <c r="I6" s="25">
        <f t="shared" si="0"/>
        <v>19803</v>
      </c>
      <c r="J6" s="25">
        <f t="shared" si="0"/>
        <v>12365</v>
      </c>
      <c r="K6" s="25">
        <f t="shared" si="0"/>
        <v>17098</v>
      </c>
      <c r="L6" s="25">
        <f t="shared" si="0"/>
        <v>15661</v>
      </c>
      <c r="M6" s="25">
        <f t="shared" si="0"/>
        <v>17731</v>
      </c>
      <c r="N6" s="25">
        <f t="shared" si="0"/>
        <v>21164</v>
      </c>
      <c r="O6" s="25">
        <f t="shared" si="0"/>
        <v>18142</v>
      </c>
      <c r="P6" s="25">
        <f t="shared" si="0"/>
        <v>11776</v>
      </c>
      <c r="Q6" s="25">
        <f t="shared" si="0"/>
        <v>16687</v>
      </c>
      <c r="R6" s="25">
        <f t="shared" si="0"/>
        <v>12670</v>
      </c>
      <c r="S6" s="25">
        <f t="shared" si="0"/>
        <v>11937</v>
      </c>
      <c r="T6" s="25">
        <f t="shared" si="0"/>
        <v>12925</v>
      </c>
      <c r="U6" s="25">
        <f t="shared" si="0"/>
        <v>12210</v>
      </c>
      <c r="V6" s="25">
        <f t="shared" si="0"/>
        <v>12459</v>
      </c>
      <c r="W6" s="25">
        <f t="shared" si="0"/>
        <v>18264</v>
      </c>
      <c r="X6" s="25">
        <f t="shared" si="0"/>
        <v>13261</v>
      </c>
      <c r="Y6" s="25">
        <f t="shared" si="0"/>
        <v>10250</v>
      </c>
      <c r="Z6" s="25">
        <f t="shared" si="0"/>
        <v>14968</v>
      </c>
      <c r="AA6" s="25">
        <f t="shared" si="0"/>
        <v>19123</v>
      </c>
      <c r="AB6" s="25">
        <f t="shared" si="0"/>
        <v>17158</v>
      </c>
    </row>
    <row r="12" spans="1:28" ht="18.5" x14ac:dyDescent="0.45">
      <c r="B12" s="16" t="s">
        <v>65</v>
      </c>
      <c r="C12" s="16">
        <v>1007</v>
      </c>
    </row>
    <row r="13" spans="1:28" ht="18.5" x14ac:dyDescent="0.45">
      <c r="B13" s="26" t="s">
        <v>68</v>
      </c>
      <c r="C13" s="26"/>
      <c r="D13" s="27"/>
    </row>
    <row r="14" spans="1:28" ht="18.5" x14ac:dyDescent="0.45">
      <c r="B14" s="26" t="s">
        <v>23</v>
      </c>
      <c r="C14" s="26"/>
    </row>
    <row r="15" spans="1:28" ht="18.5" x14ac:dyDescent="0.45">
      <c r="B15" s="26" t="s">
        <v>24</v>
      </c>
      <c r="C15" s="26"/>
    </row>
    <row r="16" spans="1:28" ht="18.5" x14ac:dyDescent="0.45">
      <c r="B16" s="26" t="s">
        <v>25</v>
      </c>
      <c r="C16" s="26"/>
    </row>
    <row r="17" spans="2:3" ht="18.5" x14ac:dyDescent="0.45">
      <c r="B17" s="26" t="s">
        <v>21</v>
      </c>
      <c r="C1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CASE_1.2</vt:lpstr>
      <vt:lpstr>CASE_1.1</vt:lpstr>
      <vt:lpstr>Hlookup</vt:lpstr>
      <vt:lpstr>i</vt:lpstr>
      <vt:lpstr>tbl_1</vt:lpstr>
      <vt:lpstr>tbl_2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Naresh</dc:creator>
  <cp:lastModifiedBy>Kavita Naresh</cp:lastModifiedBy>
  <dcterms:created xsi:type="dcterms:W3CDTF">2026-10-31T09:21:14Z</dcterms:created>
  <dcterms:modified xsi:type="dcterms:W3CDTF">2026-10-31T09:23:22Z</dcterms:modified>
</cp:coreProperties>
</file>