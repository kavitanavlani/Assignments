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ILL_TRAINING_2026\"/>
    </mc:Choice>
  </mc:AlternateContent>
  <xr:revisionPtr revIDLastSave="0" documentId="8_{73722C06-BBDC-46F6-ADD3-B06772DCA619}" xr6:coauthVersionLast="47" xr6:coauthVersionMax="47" xr10:uidLastSave="{00000000-0000-0000-0000-000000000000}"/>
  <bookViews>
    <workbookView xWindow="-110" yWindow="-110" windowWidth="19420" windowHeight="10300" xr2:uid="{CFA0C4F0-15B6-4797-9DA0-E54D1B2A389E}"/>
  </bookViews>
  <sheets>
    <sheet name="Sheet6" sheetId="1" r:id="rId1"/>
  </sheets>
  <externalReferences>
    <externalReference r:id="rId2"/>
  </externalReferences>
  <definedNames>
    <definedName name="abc">#REF!</definedName>
    <definedName name="edr">#REF!</definedName>
    <definedName name="ed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1" l="1"/>
  <c r="C36" i="1" l="1"/>
  <c r="C37" i="1"/>
  <c r="C35" i="1"/>
  <c r="C38" i="1" s="1"/>
</calcChain>
</file>

<file path=xl/sharedStrings.xml><?xml version="1.0" encoding="utf-8"?>
<sst xmlns="http://schemas.openxmlformats.org/spreadsheetml/2006/main" count="35" uniqueCount="31">
  <si>
    <t>Wants Aquire a Additional machinary</t>
  </si>
  <si>
    <t>Option 1</t>
  </si>
  <si>
    <t>purchase</t>
  </si>
  <si>
    <t>Option 2</t>
  </si>
  <si>
    <t>lease</t>
  </si>
  <si>
    <t>Cost of machinary</t>
  </si>
  <si>
    <t xml:space="preserve">Dep should calculate by slm </t>
  </si>
  <si>
    <t>salvage value</t>
  </si>
  <si>
    <t xml:space="preserve">life </t>
  </si>
  <si>
    <t>loan taken on rate of int</t>
  </si>
  <si>
    <t>Tax rate</t>
  </si>
  <si>
    <t>Deductions</t>
  </si>
  <si>
    <t>Dis Factor</t>
  </si>
  <si>
    <t>Years</t>
  </si>
  <si>
    <t>Installments</t>
  </si>
  <si>
    <t>ipmt</t>
  </si>
  <si>
    <t>principle</t>
  </si>
  <si>
    <t>Interest</t>
  </si>
  <si>
    <t>Dep</t>
  </si>
  <si>
    <t>net payment</t>
  </si>
  <si>
    <t>Salvage</t>
  </si>
  <si>
    <t>Net Payment</t>
  </si>
  <si>
    <t>PV</t>
  </si>
  <si>
    <t>per year lease</t>
  </si>
  <si>
    <t>additional amount at end of 3 year</t>
  </si>
  <si>
    <t>Lease Option</t>
  </si>
  <si>
    <t>Payment</t>
  </si>
  <si>
    <t>Addional
Payment</t>
  </si>
  <si>
    <t>Total</t>
  </si>
  <si>
    <t>Tax Deduction</t>
  </si>
  <si>
    <t>Dis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</si>
</sst>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0" fillId="0" borderId="1" xfId="0" applyBorder="1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kavit/Downloads/Adv-49/FINANCIAL%20ANALYSIS.xlsx" TargetMode="External"/><Relationship Id="rId2" Type="http://schemas.openxmlformats.org/officeDocument/2006/relationships/externalLinkPath" Target="file:///C:\Users\kavit\Downloads\Adv-49\FINANCIAL%20ANALYSIS.xlsx" TargetMode="External"/><Relationship Id="rId1" Type="http://schemas.openxmlformats.org/officeDocument/2006/relationships/externalLinkPath" Target="/Users/kavit/Downloads/Adv-49/FINANCIAL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ncial Que 1"/>
      <sheetName val="Financial Analysis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02BB-DF43-4CB9-A07F-40E8BA9C28FB}">
  <dimension ref="A2:K38"/>
  <sheetViews>
    <sheetView tabSelected="1" topLeftCell="A4" zoomScale="112" zoomScaleNormal="112" workbookViewId="0">
      <selection activeCell="D6" sqref="D6"/>
    </sheetView>
  </sheetViews>
  <sheetFormatPr defaultRowHeight="14.5" x14ac:dyDescent="0.35"/>
  <cols>
    <col min="2" max="2" width="32.26953125" bestFit="1" customWidth="1"/>
    <col min="3" max="3" width="12.54296875" bestFit="1" customWidth="1"/>
    <col min="6" max="7" width="12.36328125" bestFit="1" customWidth="1"/>
    <col min="8" max="8" width="11.453125" bestFit="1" customWidth="1"/>
    <col min="9" max="9" width="13.6328125" bestFit="1" customWidth="1"/>
    <col min="10" max="10" width="13" bestFit="1" customWidth="1"/>
  </cols>
  <sheetData>
    <row r="2" spans="1:10" x14ac:dyDescent="0.35">
      <c r="B2" t="s">
        <v>0</v>
      </c>
    </row>
    <row r="3" spans="1:10" x14ac:dyDescent="0.35">
      <c r="B3" t="s">
        <v>1</v>
      </c>
      <c r="C3" t="s">
        <v>2</v>
      </c>
    </row>
    <row r="4" spans="1:10" x14ac:dyDescent="0.35">
      <c r="B4" t="s">
        <v>3</v>
      </c>
      <c r="C4" t="s">
        <v>4</v>
      </c>
    </row>
    <row r="6" spans="1:10" x14ac:dyDescent="0.35">
      <c r="B6" t="s">
        <v>5</v>
      </c>
      <c r="C6">
        <v>2200000</v>
      </c>
      <c r="D6" t="s">
        <v>6</v>
      </c>
    </row>
    <row r="7" spans="1:10" x14ac:dyDescent="0.35">
      <c r="B7" t="s">
        <v>7</v>
      </c>
      <c r="C7">
        <v>1000000</v>
      </c>
    </row>
    <row r="8" spans="1:10" x14ac:dyDescent="0.35">
      <c r="B8" t="s">
        <v>8</v>
      </c>
      <c r="C8">
        <v>3</v>
      </c>
    </row>
    <row r="9" spans="1:10" x14ac:dyDescent="0.35">
      <c r="B9" t="s">
        <v>9</v>
      </c>
      <c r="C9" s="1">
        <v>0.16</v>
      </c>
    </row>
    <row r="10" spans="1:10" x14ac:dyDescent="0.35">
      <c r="B10" t="s">
        <v>10</v>
      </c>
      <c r="C10" s="1">
        <v>0.5</v>
      </c>
    </row>
    <row r="11" spans="1:10" x14ac:dyDescent="0.35">
      <c r="A11" s="2"/>
      <c r="B11" s="2"/>
      <c r="C11" s="2"/>
      <c r="D11" s="2"/>
      <c r="E11" s="3" t="s">
        <v>11</v>
      </c>
      <c r="F11" s="3"/>
      <c r="G11" s="2"/>
      <c r="H11" s="2"/>
      <c r="I11" s="2" t="s">
        <v>12</v>
      </c>
      <c r="J11" s="4"/>
    </row>
    <row r="12" spans="1:10" x14ac:dyDescent="0.3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</row>
    <row r="13" spans="1:10" x14ac:dyDescent="0.35">
      <c r="A13" s="2"/>
      <c r="B13" s="2"/>
      <c r="C13" s="2"/>
      <c r="D13" s="2"/>
      <c r="E13" s="2"/>
      <c r="F13" s="5"/>
      <c r="G13" s="5"/>
      <c r="H13" s="2"/>
      <c r="I13" s="5"/>
      <c r="J13" s="5"/>
    </row>
    <row r="14" spans="1:10" x14ac:dyDescent="0.35">
      <c r="A14" s="2"/>
      <c r="B14" s="2"/>
      <c r="C14" s="2"/>
      <c r="D14" s="2"/>
      <c r="E14" s="2"/>
      <c r="F14" s="5"/>
      <c r="G14" s="5"/>
      <c r="H14" s="2"/>
      <c r="I14" s="5"/>
      <c r="J14" s="5"/>
    </row>
    <row r="15" spans="1:10" x14ac:dyDescent="0.35">
      <c r="A15" s="2"/>
      <c r="B15" s="2"/>
      <c r="C15" s="2"/>
      <c r="D15" s="2"/>
      <c r="E15" s="2"/>
      <c r="F15" s="5"/>
      <c r="G15" s="5"/>
      <c r="H15" s="2"/>
      <c r="I15" s="5"/>
      <c r="J15" s="5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5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9" spans="1:11" x14ac:dyDescent="0.35">
      <c r="B19" t="s">
        <v>3</v>
      </c>
    </row>
    <row r="20" spans="1:11" x14ac:dyDescent="0.35">
      <c r="B20" t="s">
        <v>23</v>
      </c>
      <c r="C20">
        <v>725000</v>
      </c>
    </row>
    <row r="21" spans="1:11" x14ac:dyDescent="0.35">
      <c r="B21" t="s">
        <v>24</v>
      </c>
      <c r="C21">
        <v>600000</v>
      </c>
    </row>
    <row r="23" spans="1:11" x14ac:dyDescent="0.35">
      <c r="B23" t="s">
        <v>25</v>
      </c>
    </row>
    <row r="24" spans="1:11" ht="29" x14ac:dyDescent="0.35">
      <c r="B24" s="2" t="s">
        <v>13</v>
      </c>
      <c r="C24" s="2" t="s">
        <v>26</v>
      </c>
      <c r="D24" s="6" t="s">
        <v>27</v>
      </c>
      <c r="E24" s="2" t="s">
        <v>28</v>
      </c>
      <c r="F24" s="3" t="s">
        <v>29</v>
      </c>
      <c r="G24" s="3"/>
      <c r="H24" s="2" t="s">
        <v>21</v>
      </c>
      <c r="I24" s="2" t="s">
        <v>22</v>
      </c>
      <c r="J24" s="2" t="s">
        <v>30</v>
      </c>
      <c r="K24" s="4"/>
    </row>
    <row r="25" spans="1:11" x14ac:dyDescent="0.35">
      <c r="B25" s="2"/>
      <c r="C25" s="2"/>
      <c r="D25" s="2"/>
      <c r="E25" s="2"/>
      <c r="F25" s="2"/>
      <c r="G25" s="2"/>
      <c r="H25" s="2"/>
      <c r="I25" s="5"/>
      <c r="J25" s="2"/>
      <c r="K25" s="2"/>
    </row>
    <row r="26" spans="1:11" x14ac:dyDescent="0.35">
      <c r="B26" s="2"/>
      <c r="C26" s="2"/>
      <c r="D26" s="2"/>
      <c r="E26" s="2"/>
      <c r="F26" s="2"/>
      <c r="G26" s="5"/>
      <c r="H26" s="2"/>
      <c r="I26" s="5"/>
      <c r="J26" s="5"/>
      <c r="K26" s="5"/>
    </row>
    <row r="27" spans="1:11" x14ac:dyDescent="0.35">
      <c r="B27" s="2"/>
      <c r="C27" s="2"/>
      <c r="D27" s="2"/>
      <c r="E27" s="2"/>
      <c r="F27" s="2"/>
      <c r="G27" s="5"/>
      <c r="H27" s="2"/>
      <c r="I27" s="5"/>
      <c r="J27" s="5"/>
      <c r="K27" s="5"/>
    </row>
    <row r="28" spans="1:11" x14ac:dyDescent="0.35">
      <c r="B28" s="2"/>
      <c r="C28" s="2"/>
      <c r="D28" s="2"/>
      <c r="E28" s="2"/>
      <c r="F28" s="2"/>
      <c r="G28" s="5"/>
      <c r="H28" s="5"/>
      <c r="I28" s="5"/>
      <c r="J28" s="5"/>
      <c r="K28" s="5"/>
    </row>
    <row r="29" spans="1:11" x14ac:dyDescent="0.35">
      <c r="B29" s="2"/>
      <c r="C29" s="2"/>
      <c r="D29" s="2"/>
      <c r="E29" s="2"/>
      <c r="F29" s="2"/>
      <c r="G29" s="2"/>
      <c r="H29" s="2"/>
      <c r="I29" s="2"/>
      <c r="J29" s="2"/>
      <c r="K29" s="5"/>
    </row>
    <row r="30" spans="1:1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</row>
    <row r="34" spans="1:3" x14ac:dyDescent="0.35">
      <c r="B34">
        <v>-700000</v>
      </c>
    </row>
    <row r="35" spans="1:3" x14ac:dyDescent="0.35">
      <c r="A35">
        <v>1</v>
      </c>
      <c r="B35">
        <v>320000</v>
      </c>
      <c r="C35" s="7">
        <f>PV($B$38,A35,,B35,0)</f>
        <v>-242271.79073830953</v>
      </c>
    </row>
    <row r="36" spans="1:3" x14ac:dyDescent="0.35">
      <c r="A36">
        <v>2</v>
      </c>
      <c r="B36">
        <v>420000</v>
      </c>
      <c r="C36" s="7">
        <f t="shared" ref="C36:C37" si="0">PV($B$38,A36,,B36,0)</f>
        <v>-240743.75631611171</v>
      </c>
    </row>
    <row r="37" spans="1:3" x14ac:dyDescent="0.35">
      <c r="A37">
        <v>3</v>
      </c>
      <c r="B37">
        <v>500000</v>
      </c>
      <c r="C37" s="7">
        <f t="shared" si="0"/>
        <v>-216984.45294557887</v>
      </c>
    </row>
    <row r="38" spans="1:3" x14ac:dyDescent="0.35">
      <c r="B38" s="1">
        <f>IRR(B34:B37)</f>
        <v>0.32083062177737731</v>
      </c>
      <c r="C38" s="7">
        <f>SUM(C35:C37)</f>
        <v>-700000.00000000012</v>
      </c>
    </row>
  </sheetData>
  <mergeCells count="2">
    <mergeCell ref="E11:F11"/>
    <mergeCell ref="F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Naresh</dc:creator>
  <cp:lastModifiedBy>Kavita Naresh</cp:lastModifiedBy>
  <dcterms:created xsi:type="dcterms:W3CDTF">2026-11-01T10:20:19Z</dcterms:created>
  <dcterms:modified xsi:type="dcterms:W3CDTF">2026-11-01T10:21:07Z</dcterms:modified>
</cp:coreProperties>
</file>